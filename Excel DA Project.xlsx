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64637c75409e820f/Desktop/Portfolio projects/"/>
    </mc:Choice>
  </mc:AlternateContent>
  <xr:revisionPtr revIDLastSave="1" documentId="8_{9FDA0CE8-E74B-4282-A5A5-7D7AAA719760}" xr6:coauthVersionLast="47" xr6:coauthVersionMax="47" xr10:uidLastSave="{9A56C76B-F8FA-4FFF-A68C-5C9DC1663410}"/>
  <bookViews>
    <workbookView xWindow="-120" yWindow="-120" windowWidth="20730" windowHeight="11040" activeTab="3" xr2:uid="{00000000-000D-0000-FFFF-FFFF00000000}"/>
  </bookViews>
  <sheets>
    <sheet name="bike_buyers" sheetId="1" r:id="rId1"/>
    <sheet name="working table" sheetId="3" r:id="rId2"/>
    <sheet name="Pivot table" sheetId="4" r:id="rId3"/>
    <sheet name="Dashboard" sheetId="2" r:id="rId4"/>
  </sheets>
  <definedNames>
    <definedName name="_xlnm._FilterDatabase" localSheetId="0" hidden="1">bike_buyers!$A$1:$M$1001</definedName>
    <definedName name="_xlnm._FilterDatabase" localSheetId="1" hidden="1">'working table'!$M$1:$M$1027</definedName>
    <definedName name="Slicer_Education">#N/A</definedName>
    <definedName name="Slicer_Gender">#N/A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<sst xmlns="http://schemas.openxmlformats.org/spreadsheetml/2006/main" count="16266" uniqueCount="53">
  <si>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</si>
  <si>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</si>
  <si>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</si>
  <si>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</si>
  <si>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</si>
  <si>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</si>
  <si>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</si>
  <si>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</si>
  <si>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</si>
  <si>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</si>
  <si>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</si>
  <si>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</si>
  <si>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</si>
  <si>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</si>
  <si>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</si>
  <si>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</si>
  <si>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</si>
  <si>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</si>
  <si>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</si>
  <si>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</si>
  <si>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</si>
  <si>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</si>
  <si>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</si>
  <si>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</si>
  <si>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</si>
  <si>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</si>
  <si>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</si>
  <si>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</si>
  <si>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</si>
  <si>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</si>
  <si>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</si>
  <si>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</si>
  <si>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</si>
  <si>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</si>
  <si>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</si>
  <si>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</si>
  <si>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</si>
  <si>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</si>
  <si>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</si>
  <si>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</si>
  <si>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</si>
  <si>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</si>
  <si>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</si>
  <si>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</si>
  <si>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</si>
  <si>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Middle Aged</t>
  </si>
  <si>
    <t>Old</t>
  </si>
  <si>
    <t>Young Adults</t>
  </si>
  <si>
    <t>Count of Commute Distance</t>
  </si>
  <si>
    <t>Count of Purchased Bike</t>
  </si>
  <si>
    <t>More than 10 miles</t>
  </si>
  <si>
    <t>Bike Sales Dashboard</t>
  </si>
  <si>
    <t>Created By: Riddhima Nath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</si>
</sst>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17" fillId="33" borderId="0" xfId="0" applyFont="1" applyFill="1" applyAlignment="1">
      <alignment vertical="center"/>
    </xf>
    <xf numFmtId="0" fontId="17" fillId="33" borderId="0" xfId="0" applyFont="1" applyFill="1"/>
    <xf numFmtId="0" fontId="0" fillId="33" borderId="0" xfId="0" applyFill="1"/>
    <xf numFmtId="0" fontId="0" fillId="34" borderId="0" xfId="0" applyFill="1"/>
    <xf numFmtId="0" fontId="19" fillId="34" borderId="0" xfId="0" applyFont="1" applyFill="1" applyAlignment="1">
      <alignment vertical="center"/>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 Project.xlsx]Pivot table!PivotTable1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400"/>
              <a:t>Income per Customer purchase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507124546494626"/>
          <c:y val="0.15199517843843019"/>
          <c:w val="0.68016861528672556"/>
          <c:h val="0.61978324604322776"/>
        </c:manualLayout>
      </c:layout>
      <c:bar3DChart>
        <c:barDir val="col"/>
        <c:grouping val="clustered"/>
        <c:varyColors val="0"/>
        <c:ser>
          <c:idx val="0"/>
          <c:order val="0"/>
          <c:tx>
            <c:strRef>
              <c:f>'Pivot table'!$F$6:$F$7</c:f>
              <c:strCache>
                <c:ptCount val="1"/>
                <c:pt idx="0">
                  <c:v>No</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table'!$E$8:$E$10</c:f>
              <c:strCache>
                <c:ptCount val="2"/>
                <c:pt idx="0">
                  <c:v>Female</c:v>
                </c:pt>
                <c:pt idx="1">
                  <c:v>Male</c:v>
                </c:pt>
              </c:strCache>
            </c:strRef>
          </c:cat>
          <c:val>
            <c:numRef>
              <c:f>'Pivot table'!$F$8:$F$10</c:f>
              <c:numCache>
                <c:formatCode>0</c:formatCode>
                <c:ptCount val="2"/>
                <c:pt idx="0">
                  <c:v>53440</c:v>
                </c:pt>
                <c:pt idx="1">
                  <c:v>56208.178438661707</c:v>
                </c:pt>
              </c:numCache>
            </c:numRef>
          </c:val>
          <c:extLst>
            <c:ext xmlns:c16="http://schemas.microsoft.com/office/drawing/2014/chart" uri="{C3380CC4-5D6E-409C-BE32-E72D297353CC}">
              <c16:uniqueId val="{00000000-4ACB-4ACD-8217-9EA12A9DC1EE}"/>
            </c:ext>
          </c:extLst>
        </c:ser>
        <c:ser>
          <c:idx val="1"/>
          <c:order val="1"/>
          <c:tx>
            <c:strRef>
              <c:f>'Pivot table'!$G$6:$G$7</c:f>
              <c:strCache>
                <c:ptCount val="1"/>
                <c:pt idx="0">
                  <c:v>Yes</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table'!$E$8:$E$10</c:f>
              <c:strCache>
                <c:ptCount val="2"/>
                <c:pt idx="0">
                  <c:v>Female</c:v>
                </c:pt>
                <c:pt idx="1">
                  <c:v>Male</c:v>
                </c:pt>
              </c:strCache>
            </c:strRef>
          </c:cat>
          <c:val>
            <c:numRef>
              <c:f>'Pivot table'!$G$8:$G$10</c:f>
              <c:numCache>
                <c:formatCode>0</c:formatCode>
                <c:ptCount val="2"/>
                <c:pt idx="0">
                  <c:v>55774.058577405856</c:v>
                </c:pt>
                <c:pt idx="1">
                  <c:v>60123.966942148763</c:v>
                </c:pt>
              </c:numCache>
            </c:numRef>
          </c:val>
          <c:extLst>
            <c:ext xmlns:c16="http://schemas.microsoft.com/office/drawing/2014/chart" uri="{C3380CC4-5D6E-409C-BE32-E72D297353CC}">
              <c16:uniqueId val="{00000001-4ACB-4ACD-8217-9EA12A9DC1EE}"/>
            </c:ext>
          </c:extLst>
        </c:ser>
        <c:dLbls>
          <c:showLegendKey val="0"/>
          <c:showVal val="1"/>
          <c:showCatName val="0"/>
          <c:showSerName val="0"/>
          <c:showPercent val="0"/>
          <c:showBubbleSize val="0"/>
        </c:dLbls>
        <c:gapWidth val="150"/>
        <c:shape val="box"/>
        <c:axId val="290319744"/>
        <c:axId val="290320224"/>
        <c:axId val="0"/>
      </c:bar3DChart>
      <c:catAx>
        <c:axId val="29031974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90320224"/>
        <c:crosses val="autoZero"/>
        <c:auto val="1"/>
        <c:lblAlgn val="ctr"/>
        <c:lblOffset val="100"/>
        <c:noMultiLvlLbl val="0"/>
      </c:catAx>
      <c:valAx>
        <c:axId val="2903202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Aiverage</a:t>
                </a:r>
                <a:r>
                  <a:rPr lang="en-IN" baseline="0"/>
                  <a:t> income</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31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table'!$A$20:$A$23</c:f>
              <c:strCache>
                <c:ptCount val="3"/>
                <c:pt idx="0">
                  <c:v>Young Adults</c:v>
                </c:pt>
                <c:pt idx="1">
                  <c:v>Old</c:v>
                </c:pt>
                <c:pt idx="2">
                  <c:v>Middle Aged</c:v>
                </c:pt>
              </c:strCache>
            </c:strRef>
          </c:cat>
          <c:val>
            <c:numRef>
              <c:f>'Pivot table'!$B$20:$B$23</c:f>
              <c:numCache>
                <c:formatCode>General</c:formatCode>
                <c:ptCount val="3"/>
                <c:pt idx="0">
                  <c:v>141</c:v>
                </c:pt>
                <c:pt idx="1">
                  <c:v>117</c:v>
                </c:pt>
                <c:pt idx="2">
                  <c:v>261</c:v>
                </c:pt>
              </c:numCache>
            </c:numRef>
          </c:val>
          <c:smooth val="0"/>
          <c:extLst>
            <c:ext xmlns:c16="http://schemas.microsoft.com/office/drawing/2014/chart" uri="{C3380CC4-5D6E-409C-BE32-E72D297353CC}">
              <c16:uniqueId val="{00000000-D790-45DA-84C6-9942A92A0F76}"/>
            </c:ext>
          </c:extLst>
        </c:ser>
        <c:ser>
          <c:idx val="1"/>
          <c:order val="1"/>
          <c:tx>
            <c:strRef>
              <c:f>'Pivot table'!$C$18:$C$19</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table'!$A$20:$A$23</c:f>
              <c:strCache>
                <c:ptCount val="3"/>
                <c:pt idx="0">
                  <c:v>Young Adults</c:v>
                </c:pt>
                <c:pt idx="1">
                  <c:v>Old</c:v>
                </c:pt>
                <c:pt idx="2">
                  <c:v>Middle Aged</c:v>
                </c:pt>
              </c:strCache>
            </c:strRef>
          </c:cat>
          <c:val>
            <c:numRef>
              <c:f>'Pivot table'!$C$20:$C$23</c:f>
              <c:numCache>
                <c:formatCode>General</c:formatCode>
                <c:ptCount val="3"/>
                <c:pt idx="0">
                  <c:v>115</c:v>
                </c:pt>
                <c:pt idx="1">
                  <c:v>54</c:v>
                </c:pt>
                <c:pt idx="2">
                  <c:v>312</c:v>
                </c:pt>
              </c:numCache>
            </c:numRef>
          </c:val>
          <c:smooth val="0"/>
          <c:extLst>
            <c:ext xmlns:c16="http://schemas.microsoft.com/office/drawing/2014/chart" uri="{C3380CC4-5D6E-409C-BE32-E72D297353CC}">
              <c16:uniqueId val="{00000001-D790-45DA-84C6-9942A92A0F76}"/>
            </c:ext>
          </c:extLst>
        </c:ser>
        <c:dLbls>
          <c:showLegendKey val="0"/>
          <c:showVal val="0"/>
          <c:showCatName val="0"/>
          <c:showSerName val="0"/>
          <c:showPercent val="0"/>
          <c:showBubbleSize val="0"/>
        </c:dLbls>
        <c:marker val="1"/>
        <c:smooth val="0"/>
        <c:axId val="1324513072"/>
        <c:axId val="1324511632"/>
      </c:lineChart>
      <c:catAx>
        <c:axId val="1324513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11632"/>
        <c:crosses val="autoZero"/>
        <c:auto val="1"/>
        <c:lblAlgn val="ctr"/>
        <c:lblOffset val="100"/>
        <c:noMultiLvlLbl val="0"/>
      </c:catAx>
      <c:valAx>
        <c:axId val="132451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13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table'!$C$48:$C$49</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table'!$B$50:$B$55</c:f>
              <c:strCache>
                <c:ptCount val="5"/>
                <c:pt idx="0">
                  <c:v>0-1 Miles</c:v>
                </c:pt>
                <c:pt idx="1">
                  <c:v>1-2 Miles</c:v>
                </c:pt>
                <c:pt idx="2">
                  <c:v>2-5 Miles</c:v>
                </c:pt>
                <c:pt idx="3">
                  <c:v>5-10 Miles</c:v>
                </c:pt>
                <c:pt idx="4">
                  <c:v>More than 10 miles</c:v>
                </c:pt>
              </c:strCache>
            </c:strRef>
          </c:cat>
          <c:val>
            <c:numRef>
              <c:f>'Pivot table'!$C$50:$C$55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AB-40FA-A8F4-52DA073EE7F1}"/>
            </c:ext>
          </c:extLst>
        </c:ser>
        <c:ser>
          <c:idx val="1"/>
          <c:order val="1"/>
          <c:tx>
            <c:strRef>
              <c:f>'Pivot table'!$D$48:$D$49</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table'!$B$50:$B$55</c:f>
              <c:strCache>
                <c:ptCount val="5"/>
                <c:pt idx="0">
                  <c:v>0-1 Miles</c:v>
                </c:pt>
                <c:pt idx="1">
                  <c:v>1-2 Miles</c:v>
                </c:pt>
                <c:pt idx="2">
                  <c:v>2-5 Miles</c:v>
                </c:pt>
                <c:pt idx="3">
                  <c:v>5-10 Miles</c:v>
                </c:pt>
                <c:pt idx="4">
                  <c:v>More than 10 miles</c:v>
                </c:pt>
              </c:strCache>
            </c:strRef>
          </c:cat>
          <c:val>
            <c:numRef>
              <c:f>'Pivot table'!$D$50:$D$55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AB-40FA-A8F4-52DA073EE7F1}"/>
            </c:ext>
          </c:extLst>
        </c:ser>
        <c:dLbls>
          <c:showLegendKey val="0"/>
          <c:showVal val="0"/>
          <c:showCatName val="0"/>
          <c:showSerName val="0"/>
          <c:showPercent val="0"/>
          <c:showBubbleSize val="0"/>
        </c:dLbls>
        <c:marker val="1"/>
        <c:smooth val="0"/>
        <c:axId val="1385080512"/>
        <c:axId val="1385081008"/>
      </c:lineChart>
      <c:catAx>
        <c:axId val="138508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81008"/>
        <c:crosses val="autoZero"/>
        <c:auto val="1"/>
        <c:lblAlgn val="ctr"/>
        <c:lblOffset val="100"/>
        <c:noMultiLvlLbl val="0"/>
      </c:catAx>
      <c:valAx>
        <c:axId val="138508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 Project.xlsx]Pivot table!PivotTable1</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400"/>
              <a:t>Income per Customer purchase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72491419341813"/>
          <c:y val="0.29560596592092653"/>
          <c:w val="0.60373662426812025"/>
          <c:h val="0.47178644336124653"/>
        </c:manualLayout>
      </c:layout>
      <c:bar3DChart>
        <c:barDir val="col"/>
        <c:grouping val="clustered"/>
        <c:varyColors val="0"/>
        <c:ser>
          <c:idx val="0"/>
          <c:order val="0"/>
          <c:tx>
            <c:strRef>
              <c:f>'Pivot table'!$F$6:$F$7</c:f>
              <c:strCache>
                <c:ptCount val="1"/>
                <c:pt idx="0">
                  <c:v>No</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table'!$E$8:$E$10</c:f>
              <c:strCache>
                <c:ptCount val="2"/>
                <c:pt idx="0">
                  <c:v>Female</c:v>
                </c:pt>
                <c:pt idx="1">
                  <c:v>Male</c:v>
                </c:pt>
              </c:strCache>
            </c:strRef>
          </c:cat>
          <c:val>
            <c:numRef>
              <c:f>'Pivot table'!$F$8:$F$10</c:f>
              <c:numCache>
                <c:formatCode>0</c:formatCode>
                <c:ptCount val="2"/>
                <c:pt idx="0">
                  <c:v>53440</c:v>
                </c:pt>
                <c:pt idx="1">
                  <c:v>56208.178438661707</c:v>
                </c:pt>
              </c:numCache>
            </c:numRef>
          </c:val>
          <c:extLst>
            <c:ext xmlns:c16="http://schemas.microsoft.com/office/drawing/2014/chart" uri="{C3380CC4-5D6E-409C-BE32-E72D297353CC}">
              <c16:uniqueId val="{00000000-B4F3-4980-A902-C38097FAAA51}"/>
            </c:ext>
          </c:extLst>
        </c:ser>
        <c:ser>
          <c:idx val="1"/>
          <c:order val="1"/>
          <c:tx>
            <c:strRef>
              <c:f>'Pivot table'!$G$6:$G$7</c:f>
              <c:strCache>
                <c:ptCount val="1"/>
                <c:pt idx="0">
                  <c:v>Yes</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table'!$E$8:$E$10</c:f>
              <c:strCache>
                <c:ptCount val="2"/>
                <c:pt idx="0">
                  <c:v>Female</c:v>
                </c:pt>
                <c:pt idx="1">
                  <c:v>Male</c:v>
                </c:pt>
              </c:strCache>
            </c:strRef>
          </c:cat>
          <c:val>
            <c:numRef>
              <c:f>'Pivot table'!$G$8:$G$10</c:f>
              <c:numCache>
                <c:formatCode>0</c:formatCode>
                <c:ptCount val="2"/>
                <c:pt idx="0">
                  <c:v>55774.058577405856</c:v>
                </c:pt>
                <c:pt idx="1">
                  <c:v>60123.966942148763</c:v>
                </c:pt>
              </c:numCache>
            </c:numRef>
          </c:val>
          <c:extLst>
            <c:ext xmlns:c16="http://schemas.microsoft.com/office/drawing/2014/chart" uri="{C3380CC4-5D6E-409C-BE32-E72D297353CC}">
              <c16:uniqueId val="{00000001-B4F3-4980-A902-C38097FAAA51}"/>
            </c:ext>
          </c:extLst>
        </c:ser>
        <c:dLbls>
          <c:showLegendKey val="0"/>
          <c:showVal val="1"/>
          <c:showCatName val="0"/>
          <c:showSerName val="0"/>
          <c:showPercent val="0"/>
          <c:showBubbleSize val="0"/>
        </c:dLbls>
        <c:gapWidth val="150"/>
        <c:shape val="box"/>
        <c:axId val="290319744"/>
        <c:axId val="290320224"/>
        <c:axId val="0"/>
      </c:bar3DChart>
      <c:catAx>
        <c:axId val="29031974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90320224"/>
        <c:crosses val="autoZero"/>
        <c:auto val="1"/>
        <c:lblAlgn val="ctr"/>
        <c:lblOffset val="100"/>
        <c:noMultiLvlLbl val="0"/>
      </c:catAx>
      <c:valAx>
        <c:axId val="2903202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Aiverage</a:t>
                </a:r>
                <a:r>
                  <a:rPr lang="en-IN" baseline="0"/>
                  <a:t> income</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31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 Project.xlsx]Pivot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per Purchase</a:t>
            </a:r>
            <a:endParaRPr lang="en-IN"/>
          </a:p>
        </c:rich>
      </c:tx>
      <c:layout>
        <c:manualLayout>
          <c:xMode val="edge"/>
          <c:yMode val="edge"/>
          <c:x val="0.2720072249033386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table'!$A$20:$A$23</c:f>
              <c:strCache>
                <c:ptCount val="3"/>
                <c:pt idx="0">
                  <c:v>Young Adults</c:v>
                </c:pt>
                <c:pt idx="1">
                  <c:v>Old</c:v>
                </c:pt>
                <c:pt idx="2">
                  <c:v>Middle Aged</c:v>
                </c:pt>
              </c:strCache>
            </c:strRef>
          </c:cat>
          <c:val>
            <c:numRef>
              <c:f>'Pivot table'!$B$20:$B$23</c:f>
              <c:numCache>
                <c:formatCode>General</c:formatCode>
                <c:ptCount val="3"/>
                <c:pt idx="0">
                  <c:v>141</c:v>
                </c:pt>
                <c:pt idx="1">
                  <c:v>117</c:v>
                </c:pt>
                <c:pt idx="2">
                  <c:v>261</c:v>
                </c:pt>
              </c:numCache>
            </c:numRef>
          </c:val>
          <c:smooth val="0"/>
          <c:extLst>
            <c:ext xmlns:c16="http://schemas.microsoft.com/office/drawing/2014/chart" uri="{C3380CC4-5D6E-409C-BE32-E72D297353CC}">
              <c16:uniqueId val="{00000000-49DD-4ACD-9167-9CA261D114E1}"/>
            </c:ext>
          </c:extLst>
        </c:ser>
        <c:ser>
          <c:idx val="1"/>
          <c:order val="1"/>
          <c:tx>
            <c:strRef>
              <c:f>'Pivot table'!$C$18:$C$19</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table'!$A$20:$A$23</c:f>
              <c:strCache>
                <c:ptCount val="3"/>
                <c:pt idx="0">
                  <c:v>Young Adults</c:v>
                </c:pt>
                <c:pt idx="1">
                  <c:v>Old</c:v>
                </c:pt>
                <c:pt idx="2">
                  <c:v>Middle Aged</c:v>
                </c:pt>
              </c:strCache>
            </c:strRef>
          </c:cat>
          <c:val>
            <c:numRef>
              <c:f>'Pivot table'!$C$20:$C$23</c:f>
              <c:numCache>
                <c:formatCode>General</c:formatCode>
                <c:ptCount val="3"/>
                <c:pt idx="0">
                  <c:v>115</c:v>
                </c:pt>
                <c:pt idx="1">
                  <c:v>54</c:v>
                </c:pt>
                <c:pt idx="2">
                  <c:v>312</c:v>
                </c:pt>
              </c:numCache>
            </c:numRef>
          </c:val>
          <c:smooth val="0"/>
          <c:extLst>
            <c:ext xmlns:c16="http://schemas.microsoft.com/office/drawing/2014/chart" uri="{C3380CC4-5D6E-409C-BE32-E72D297353CC}">
              <c16:uniqueId val="{00000001-49DD-4ACD-9167-9CA261D114E1}"/>
            </c:ext>
          </c:extLst>
        </c:ser>
        <c:dLbls>
          <c:showLegendKey val="0"/>
          <c:showVal val="0"/>
          <c:showCatName val="0"/>
          <c:showSerName val="0"/>
          <c:showPercent val="0"/>
          <c:showBubbleSize val="0"/>
        </c:dLbls>
        <c:marker val="1"/>
        <c:smooth val="0"/>
        <c:axId val="1324513072"/>
        <c:axId val="1324511632"/>
      </c:lineChart>
      <c:catAx>
        <c:axId val="1324513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11632"/>
        <c:crosses val="autoZero"/>
        <c:auto val="1"/>
        <c:lblAlgn val="ctr"/>
        <c:lblOffset val="100"/>
        <c:noMultiLvlLbl val="0"/>
      </c:catAx>
      <c:valAx>
        <c:axId val="132451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13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 Project.xlsx]Pivot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layout>
        <c:manualLayout>
          <c:xMode val="edge"/>
          <c:yMode val="edge"/>
          <c:x val="0.34526827003767385"/>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table'!$C$48:$C$49</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table'!$B$50:$B$55</c:f>
              <c:strCache>
                <c:ptCount val="5"/>
                <c:pt idx="0">
                  <c:v>0-1 Miles</c:v>
                </c:pt>
                <c:pt idx="1">
                  <c:v>1-2 Miles</c:v>
                </c:pt>
                <c:pt idx="2">
                  <c:v>2-5 Miles</c:v>
                </c:pt>
                <c:pt idx="3">
                  <c:v>5-10 Miles</c:v>
                </c:pt>
                <c:pt idx="4">
                  <c:v>More than 10 miles</c:v>
                </c:pt>
              </c:strCache>
            </c:strRef>
          </c:cat>
          <c:val>
            <c:numRef>
              <c:f>'Pivot table'!$C$50:$C$55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BBC-4373-968D-DE89B05645ED}"/>
            </c:ext>
          </c:extLst>
        </c:ser>
        <c:ser>
          <c:idx val="1"/>
          <c:order val="1"/>
          <c:tx>
            <c:strRef>
              <c:f>'Pivot table'!$D$48:$D$49</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table'!$B$50:$B$55</c:f>
              <c:strCache>
                <c:ptCount val="5"/>
                <c:pt idx="0">
                  <c:v>0-1 Miles</c:v>
                </c:pt>
                <c:pt idx="1">
                  <c:v>1-2 Miles</c:v>
                </c:pt>
                <c:pt idx="2">
                  <c:v>2-5 Miles</c:v>
                </c:pt>
                <c:pt idx="3">
                  <c:v>5-10 Miles</c:v>
                </c:pt>
                <c:pt idx="4">
                  <c:v>More than 10 miles</c:v>
                </c:pt>
              </c:strCache>
            </c:strRef>
          </c:cat>
          <c:val>
            <c:numRef>
              <c:f>'Pivot table'!$D$50:$D$55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BBC-4373-968D-DE89B05645ED}"/>
            </c:ext>
          </c:extLst>
        </c:ser>
        <c:dLbls>
          <c:showLegendKey val="0"/>
          <c:showVal val="0"/>
          <c:showCatName val="0"/>
          <c:showSerName val="0"/>
          <c:showPercent val="0"/>
          <c:showBubbleSize val="0"/>
        </c:dLbls>
        <c:marker val="1"/>
        <c:smooth val="0"/>
        <c:axId val="1385080512"/>
        <c:axId val="1385081008"/>
      </c:lineChart>
      <c:catAx>
        <c:axId val="138508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81008"/>
        <c:crosses val="autoZero"/>
        <c:auto val="1"/>
        <c:lblAlgn val="ctr"/>
        <c:lblOffset val="100"/>
        <c:noMultiLvlLbl val="0"/>
      </c:catAx>
      <c:valAx>
        <c:axId val="138508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0</xdr:row>
      <xdr:rowOff>80961</xdr:rowOff>
    </xdr:from>
    <xdr:to>
      <xdr:col>3</xdr:col>
      <xdr:colOff>123825</xdr:colOff>
      <xdr:row>14</xdr:row>
      <xdr:rowOff>95250</xdr:rowOff>
    </xdr:to>
    <xdr:graphicFrame macro="">
      <xdr:nvGraphicFramePr>
        <xdr:cNvPr id="2" name="Chart 1">
          <a:extLst>
            <a:ext uri="{FF2B5EF4-FFF2-40B4-BE49-F238E27FC236}">
              <a16:creationId xmlns:a16="http://schemas.microsoft.com/office/drawing/2014/main" id="{30EB7110-B95A-ACCD-7FB4-9847AEF31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16</xdr:row>
      <xdr:rowOff>23812</xdr:rowOff>
    </xdr:from>
    <xdr:to>
      <xdr:col>12</xdr:col>
      <xdr:colOff>285750</xdr:colOff>
      <xdr:row>30</xdr:row>
      <xdr:rowOff>100012</xdr:rowOff>
    </xdr:to>
    <xdr:graphicFrame macro="">
      <xdr:nvGraphicFramePr>
        <xdr:cNvPr id="3" name="Chart 2">
          <a:extLst>
            <a:ext uri="{FF2B5EF4-FFF2-40B4-BE49-F238E27FC236}">
              <a16:creationId xmlns:a16="http://schemas.microsoft.com/office/drawing/2014/main" id="{3BFFD5A0-AC26-B38F-ED74-1A11DA319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619124</xdr:colOff>
      <xdr:row>44</xdr:row>
      <xdr:rowOff>23812</xdr:rowOff>
    </xdr:from>
    <xdr:to>
      <xdr:col>14</xdr:col>
      <xdr:colOff>409574</xdr:colOff>
      <xdr:row>58</xdr:row>
      <xdr:rowOff>100012</xdr:rowOff>
    </xdr:to>
    <xdr:graphicFrame macro="">
      <xdr:nvGraphicFramePr>
        <xdr:cNvPr id="5" name="Chart 4">
          <a:extLst>
            <a:ext uri="{FF2B5EF4-FFF2-40B4-BE49-F238E27FC236}">
              <a16:creationId xmlns:a16="http://schemas.microsoft.com/office/drawing/2014/main" id="{B19D0200-E442-2327-8901-4A494FF8F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481014</xdr:colOff>
      <xdr:row>2</xdr:row>
      <xdr:rowOff>33337</xdr:rowOff>
    </xdr:from>
    <xdr:to>
      <xdr:col>9</xdr:col>
      <xdr:colOff>261938</xdr:colOff>
      <xdr:row>15</xdr:row>
      <xdr:rowOff>109536</xdr:rowOff>
    </xdr:to>
    <xdr:graphicFrame macro="">
      <xdr:nvGraphicFramePr>
        <xdr:cNvPr id="2" name="Chart 1">
          <a:extLst>
            <a:ext uri="{FF2B5EF4-FFF2-40B4-BE49-F238E27FC236}">
              <a16:creationId xmlns:a16="http://schemas.microsoft.com/office/drawing/2014/main" id="{28B80402-0DB0-4844-9C57-DA2DED340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302419</xdr:colOff>
      <xdr:row>2</xdr:row>
      <xdr:rowOff>35717</xdr:rowOff>
    </xdr:from>
    <xdr:to>
      <xdr:col>15</xdr:col>
      <xdr:colOff>802822</xdr:colOff>
      <xdr:row>15</xdr:row>
      <xdr:rowOff>111917</xdr:rowOff>
    </xdr:to>
    <xdr:graphicFrame macro="">
      <xdr:nvGraphicFramePr>
        <xdr:cNvPr id="3" name="Chart 2">
          <a:extLst>
            <a:ext uri="{FF2B5EF4-FFF2-40B4-BE49-F238E27FC236}">
              <a16:creationId xmlns:a16="http://schemas.microsoft.com/office/drawing/2014/main" id="{3279AE4B-C6EE-438D-B189-871BF2DC9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492919</xdr:colOff>
      <xdr:row>15</xdr:row>
      <xdr:rowOff>147637</xdr:rowOff>
    </xdr:from>
    <xdr:to>
      <xdr:col>15</xdr:col>
      <xdr:colOff>789215</xdr:colOff>
      <xdr:row>28</xdr:row>
      <xdr:rowOff>95251</xdr:rowOff>
    </xdr:to>
    <xdr:graphicFrame macro="">
      <xdr:nvGraphicFramePr>
        <xdr:cNvPr id="5" name="Chart 4">
          <a:extLst>
            <a:ext uri="{FF2B5EF4-FFF2-40B4-BE49-F238E27FC236}">
              <a16:creationId xmlns:a16="http://schemas.microsoft.com/office/drawing/2014/main" id="{7855C135-3B0A-46B2-92E2-93D0B6052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46945</xdr:colOff>
      <xdr:row>2</xdr:row>
      <xdr:rowOff>46945</xdr:rowOff>
    </xdr:from>
    <xdr:to>
      <xdr:col>2</xdr:col>
      <xdr:colOff>475570</xdr:colOff>
      <xdr:row>7</xdr:row>
      <xdr:rowOff>75520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A98B7974-0B9C-8107-1BD8-00CD8D5E6E3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6945" y="822552"/>
              <a:ext cx="1653268"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7</xdr:row>
      <xdr:rowOff>109539</xdr:rowOff>
    </xdr:from>
    <xdr:to>
      <xdr:col>2</xdr:col>
      <xdr:colOff>464344</xdr:colOff>
      <xdr:row>16</xdr:row>
      <xdr:rowOff>90489</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3637197A-ED2D-625E-42F5-991B65A62E5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5719" y="1837646"/>
              <a:ext cx="1653268"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142876</xdr:rowOff>
    </xdr:from>
    <xdr:to>
      <xdr:col>2</xdr:col>
      <xdr:colOff>462643</xdr:colOff>
      <xdr:row>22</xdr:row>
      <xdr:rowOff>176894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223FE77-911C-C3BD-4C7D-37218E491D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585483"/>
              <a:ext cx="1687286" cy="1177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47625</xdr:rowOff>
    </xdr:from>
    <xdr:to>
      <xdr:col>2</xdr:col>
      <xdr:colOff>462643</xdr:colOff>
      <xdr:row>28</xdr:row>
      <xdr:rowOff>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B77B313E-4890-BE06-B73E-E1CF00F6DC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4823732"/>
              <a:ext cx="1687286"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7.42395462963" createdVersion="8" refreshedVersion="8" minRefreshableVersion="3" recordCount="1000" xr:uid="{DB3AE8EF-3EAB-4B5F-85CC-57A2E1215D94}">
  <cacheSource type="worksheet">
    <worksheetSource ref="A1:N1001" sheet="working table"/>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Young 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780048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2"/>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2"/>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2"/>
    <x v="1"/>
  </r>
  <r>
    <n v="25940"/>
    <x v="1"/>
    <x v="1"/>
    <n v="20000"/>
    <n v="2"/>
    <x v="3"/>
    <s v="Clerical"/>
    <s v="Yes"/>
    <n v="2"/>
    <x v="2"/>
    <x v="1"/>
    <n v="55"/>
    <x v="0"/>
    <x v="1"/>
  </r>
  <r>
    <n v="25598"/>
    <x v="0"/>
    <x v="0"/>
    <n v="40000"/>
    <n v="0"/>
    <x v="4"/>
    <s v="Clerical"/>
    <s v="Yes"/>
    <n v="0"/>
    <x v="0"/>
    <x v="0"/>
    <n v="36"/>
    <x v="0"/>
    <x v="1"/>
  </r>
  <r>
    <n v="21564"/>
    <x v="1"/>
    <x v="0"/>
    <n v="80000"/>
    <n v="0"/>
    <x v="0"/>
    <s v="Professional"/>
    <s v="Yes"/>
    <n v="4"/>
    <x v="4"/>
    <x v="1"/>
    <n v="35"/>
    <x v="2"/>
    <x v="0"/>
  </r>
  <r>
    <n v="19193"/>
    <x v="1"/>
    <x v="1"/>
    <n v="40000"/>
    <n v="2"/>
    <x v="1"/>
    <s v="Clerical"/>
    <s v="Yes"/>
    <n v="0"/>
    <x v="3"/>
    <x v="0"/>
    <n v="35"/>
    <x v="2"/>
    <x v="1"/>
  </r>
  <r>
    <n v="26412"/>
    <x v="0"/>
    <x v="0"/>
    <n v="80000"/>
    <n v="5"/>
    <x v="2"/>
    <s v="Management"/>
    <s v="No"/>
    <n v="3"/>
    <x v="2"/>
    <x v="0"/>
    <n v="56"/>
    <x v="1"/>
    <x v="0"/>
  </r>
  <r>
    <n v="27184"/>
    <x v="1"/>
    <x v="1"/>
    <n v="40000"/>
    <n v="2"/>
    <x v="1"/>
    <s v="Clerical"/>
    <s v="No"/>
    <n v="1"/>
    <x v="0"/>
    <x v="0"/>
    <n v="34"/>
    <x v="2"/>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2"/>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2"/>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2"/>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2"/>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2"/>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2"/>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2"/>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2"/>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2"/>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2"/>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2"/>
    <x v="0"/>
  </r>
  <r>
    <n v="20877"/>
    <x v="1"/>
    <x v="1"/>
    <n v="30000"/>
    <n v="1"/>
    <x v="0"/>
    <s v="Clerical"/>
    <s v="Yes"/>
    <n v="0"/>
    <x v="3"/>
    <x v="0"/>
    <n v="37"/>
    <x v="0"/>
    <x v="1"/>
  </r>
  <r>
    <n v="20729"/>
    <x v="0"/>
    <x v="0"/>
    <n v="40000"/>
    <n v="2"/>
    <x v="1"/>
    <s v="Clerical"/>
    <s v="No"/>
    <n v="1"/>
    <x v="0"/>
    <x v="0"/>
    <n v="34"/>
    <x v="2"/>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2"/>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2"/>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2"/>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2"/>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2"/>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2"/>
    <x v="1"/>
  </r>
  <r>
    <n v="24584"/>
    <x v="1"/>
    <x v="1"/>
    <n v="60000"/>
    <n v="0"/>
    <x v="0"/>
    <s v="Professional"/>
    <s v="No"/>
    <n v="3"/>
    <x v="1"/>
    <x v="1"/>
    <n v="31"/>
    <x v="2"/>
    <x v="0"/>
  </r>
  <r>
    <n v="12585"/>
    <x v="0"/>
    <x v="1"/>
    <n v="10000"/>
    <n v="1"/>
    <x v="2"/>
    <s v="Manual"/>
    <s v="Yes"/>
    <n v="0"/>
    <x v="1"/>
    <x v="1"/>
    <n v="27"/>
    <x v="2"/>
    <x v="1"/>
  </r>
  <r>
    <n v="18626"/>
    <x v="1"/>
    <x v="1"/>
    <n v="40000"/>
    <n v="2"/>
    <x v="1"/>
    <s v="Clerical"/>
    <s v="Yes"/>
    <n v="0"/>
    <x v="3"/>
    <x v="0"/>
    <n v="33"/>
    <x v="2"/>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2"/>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2"/>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2"/>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2"/>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2"/>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2"/>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2"/>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2"/>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2"/>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2"/>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2"/>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2"/>
    <x v="0"/>
  </r>
  <r>
    <n v="19508"/>
    <x v="0"/>
    <x v="1"/>
    <n v="10000"/>
    <n v="0"/>
    <x v="3"/>
    <s v="Manual"/>
    <s v="No"/>
    <n v="2"/>
    <x v="0"/>
    <x v="0"/>
    <n v="30"/>
    <x v="2"/>
    <x v="0"/>
  </r>
  <r>
    <n v="11489"/>
    <x v="1"/>
    <x v="0"/>
    <n v="20000"/>
    <n v="0"/>
    <x v="3"/>
    <s v="Manual"/>
    <s v="No"/>
    <n v="2"/>
    <x v="3"/>
    <x v="0"/>
    <n v="35"/>
    <x v="2"/>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2"/>
    <x v="0"/>
  </r>
  <r>
    <n v="29424"/>
    <x v="0"/>
    <x v="1"/>
    <n v="10000"/>
    <n v="0"/>
    <x v="3"/>
    <s v="Manual"/>
    <s v="Yes"/>
    <n v="2"/>
    <x v="0"/>
    <x v="0"/>
    <n v="32"/>
    <x v="2"/>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2"/>
    <x v="1"/>
  </r>
  <r>
    <n v="19183"/>
    <x v="1"/>
    <x v="1"/>
    <n v="10000"/>
    <n v="0"/>
    <x v="3"/>
    <s v="Manual"/>
    <s v="Yes"/>
    <n v="2"/>
    <x v="3"/>
    <x v="0"/>
    <n v="35"/>
    <x v="2"/>
    <x v="0"/>
  </r>
  <r>
    <n v="13683"/>
    <x v="1"/>
    <x v="0"/>
    <n v="30000"/>
    <n v="0"/>
    <x v="2"/>
    <s v="Manual"/>
    <s v="No"/>
    <n v="1"/>
    <x v="1"/>
    <x v="0"/>
    <n v="32"/>
    <x v="2"/>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2"/>
    <x v="0"/>
  </r>
  <r>
    <n v="23608"/>
    <x v="0"/>
    <x v="0"/>
    <n v="150000"/>
    <n v="3"/>
    <x v="2"/>
    <s v="Professional"/>
    <s v="Yes"/>
    <n v="3"/>
    <x v="0"/>
    <x v="0"/>
    <n v="51"/>
    <x v="0"/>
    <x v="1"/>
  </r>
  <r>
    <n v="22538"/>
    <x v="1"/>
    <x v="0"/>
    <n v="10000"/>
    <n v="0"/>
    <x v="3"/>
    <s v="Manual"/>
    <s v="Yes"/>
    <n v="2"/>
    <x v="3"/>
    <x v="0"/>
    <n v="33"/>
    <x v="2"/>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2"/>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2"/>
    <x v="1"/>
  </r>
  <r>
    <n v="13690"/>
    <x v="1"/>
    <x v="0"/>
    <n v="20000"/>
    <n v="0"/>
    <x v="3"/>
    <s v="Manual"/>
    <s v="No"/>
    <n v="2"/>
    <x v="3"/>
    <x v="0"/>
    <n v="34"/>
    <x v="2"/>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2"/>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2"/>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2"/>
    <x v="0"/>
  </r>
  <r>
    <n v="25266"/>
    <x v="1"/>
    <x v="0"/>
    <n v="30000"/>
    <n v="2"/>
    <x v="1"/>
    <s v="Clerical"/>
    <s v="No"/>
    <n v="2"/>
    <x v="2"/>
    <x v="1"/>
    <n v="67"/>
    <x v="1"/>
    <x v="0"/>
  </r>
  <r>
    <n v="17960"/>
    <x v="0"/>
    <x v="0"/>
    <n v="40000"/>
    <n v="0"/>
    <x v="4"/>
    <s v="Clerical"/>
    <s v="Yes"/>
    <n v="0"/>
    <x v="0"/>
    <x v="0"/>
    <n v="35"/>
    <x v="2"/>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2"/>
    <x v="1"/>
  </r>
  <r>
    <n v="27169"/>
    <x v="1"/>
    <x v="1"/>
    <n v="30000"/>
    <n v="0"/>
    <x v="2"/>
    <s v="Manual"/>
    <s v="Yes"/>
    <n v="1"/>
    <x v="1"/>
    <x v="0"/>
    <n v="34"/>
    <x v="2"/>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2"/>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2"/>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2"/>
    <x v="0"/>
  </r>
  <r>
    <n v="25307"/>
    <x v="0"/>
    <x v="0"/>
    <n v="40000"/>
    <n v="1"/>
    <x v="0"/>
    <s v="Skilled Manual"/>
    <s v="Yes"/>
    <n v="1"/>
    <x v="3"/>
    <x v="0"/>
    <n v="32"/>
    <x v="2"/>
    <x v="1"/>
  </r>
  <r>
    <n v="14278"/>
    <x v="0"/>
    <x v="0"/>
    <n v="130000"/>
    <n v="0"/>
    <x v="4"/>
    <s v="Management"/>
    <s v="Yes"/>
    <n v="1"/>
    <x v="4"/>
    <x v="1"/>
    <n v="48"/>
    <x v="0"/>
    <x v="0"/>
  </r>
  <r>
    <n v="20711"/>
    <x v="0"/>
    <x v="0"/>
    <n v="40000"/>
    <n v="1"/>
    <x v="0"/>
    <s v="Skilled Manual"/>
    <s v="Yes"/>
    <n v="0"/>
    <x v="3"/>
    <x v="0"/>
    <n v="32"/>
    <x v="2"/>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2"/>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2"/>
    <x v="1"/>
  </r>
  <r>
    <n v="21554"/>
    <x v="1"/>
    <x v="0"/>
    <n v="80000"/>
    <n v="0"/>
    <x v="0"/>
    <s v="Professional"/>
    <s v="No"/>
    <n v="3"/>
    <x v="4"/>
    <x v="1"/>
    <n v="33"/>
    <x v="2"/>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2"/>
    <x v="1"/>
  </r>
  <r>
    <n v="26984"/>
    <x v="0"/>
    <x v="1"/>
    <n v="40000"/>
    <n v="1"/>
    <x v="0"/>
    <s v="Skilled Manual"/>
    <s v="Yes"/>
    <n v="1"/>
    <x v="0"/>
    <x v="0"/>
    <n v="32"/>
    <x v="2"/>
    <x v="1"/>
  </r>
  <r>
    <n v="18294"/>
    <x v="0"/>
    <x v="0"/>
    <n v="90000"/>
    <n v="1"/>
    <x v="0"/>
    <s v="Professional"/>
    <s v="Yes"/>
    <n v="1"/>
    <x v="2"/>
    <x v="1"/>
    <n v="46"/>
    <x v="0"/>
    <x v="0"/>
  </r>
  <r>
    <n v="28564"/>
    <x v="1"/>
    <x v="0"/>
    <n v="40000"/>
    <n v="2"/>
    <x v="1"/>
    <s v="Clerical"/>
    <s v="Yes"/>
    <n v="0"/>
    <x v="3"/>
    <x v="0"/>
    <n v="33"/>
    <x v="2"/>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2"/>
    <x v="0"/>
  </r>
  <r>
    <n v="27835"/>
    <x v="0"/>
    <x v="1"/>
    <n v="20000"/>
    <n v="0"/>
    <x v="3"/>
    <s v="Manual"/>
    <s v="Yes"/>
    <n v="2"/>
    <x v="0"/>
    <x v="0"/>
    <n v="32"/>
    <x v="2"/>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2"/>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2"/>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2"/>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2"/>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2"/>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2"/>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2"/>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2"/>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2"/>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2"/>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2"/>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2"/>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2"/>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2"/>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2"/>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2"/>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2"/>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2"/>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2"/>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2"/>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2"/>
    <x v="1"/>
  </r>
  <r>
    <n v="25908"/>
    <x v="0"/>
    <x v="0"/>
    <n v="60000"/>
    <n v="0"/>
    <x v="1"/>
    <s v="Skilled Manual"/>
    <s v="No"/>
    <n v="1"/>
    <x v="3"/>
    <x v="2"/>
    <n v="27"/>
    <x v="2"/>
    <x v="0"/>
  </r>
  <r>
    <n v="16753"/>
    <x v="1"/>
    <x v="0"/>
    <n v="70000"/>
    <n v="0"/>
    <x v="1"/>
    <s v="Skilled Manual"/>
    <s v="Yes"/>
    <n v="2"/>
    <x v="2"/>
    <x v="2"/>
    <n v="34"/>
    <x v="2"/>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2"/>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2"/>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2"/>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2"/>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2"/>
    <x v="1"/>
  </r>
  <r>
    <n v="14271"/>
    <x v="0"/>
    <x v="1"/>
    <n v="30000"/>
    <n v="0"/>
    <x v="2"/>
    <s v="Skilled Manual"/>
    <s v="Yes"/>
    <n v="2"/>
    <x v="2"/>
    <x v="2"/>
    <n v="32"/>
    <x v="2"/>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2"/>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2"/>
    <x v="1"/>
  </r>
  <r>
    <n v="21613"/>
    <x v="1"/>
    <x v="1"/>
    <n v="50000"/>
    <n v="2"/>
    <x v="0"/>
    <s v="Skilled Manual"/>
    <s v="No"/>
    <n v="1"/>
    <x v="0"/>
    <x v="2"/>
    <n v="39"/>
    <x v="0"/>
    <x v="1"/>
  </r>
  <r>
    <n v="24801"/>
    <x v="1"/>
    <x v="1"/>
    <n v="60000"/>
    <n v="1"/>
    <x v="4"/>
    <s v="Professional"/>
    <s v="Yes"/>
    <n v="0"/>
    <x v="1"/>
    <x v="2"/>
    <n v="35"/>
    <x v="2"/>
    <x v="1"/>
  </r>
  <r>
    <n v="17519"/>
    <x v="0"/>
    <x v="0"/>
    <n v="60000"/>
    <n v="0"/>
    <x v="1"/>
    <s v="Professional"/>
    <s v="Yes"/>
    <n v="2"/>
    <x v="2"/>
    <x v="2"/>
    <n v="32"/>
    <x v="2"/>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2"/>
    <x v="0"/>
  </r>
  <r>
    <n v="13714"/>
    <x v="0"/>
    <x v="0"/>
    <n v="20000"/>
    <n v="2"/>
    <x v="2"/>
    <s v="Manual"/>
    <s v="No"/>
    <n v="2"/>
    <x v="3"/>
    <x v="2"/>
    <n v="53"/>
    <x v="0"/>
    <x v="1"/>
  </r>
  <r>
    <n v="22330"/>
    <x v="0"/>
    <x v="1"/>
    <n v="50000"/>
    <n v="0"/>
    <x v="4"/>
    <s v="Skilled Manual"/>
    <s v="Yes"/>
    <n v="0"/>
    <x v="3"/>
    <x v="2"/>
    <n v="32"/>
    <x v="2"/>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2"/>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2"/>
    <x v="0"/>
  </r>
  <r>
    <n v="11622"/>
    <x v="0"/>
    <x v="1"/>
    <n v="50000"/>
    <n v="0"/>
    <x v="4"/>
    <s v="Skilled Manual"/>
    <s v="Yes"/>
    <n v="0"/>
    <x v="0"/>
    <x v="2"/>
    <n v="32"/>
    <x v="2"/>
    <x v="0"/>
  </r>
  <r>
    <n v="26597"/>
    <x v="1"/>
    <x v="0"/>
    <n v="60000"/>
    <n v="4"/>
    <x v="0"/>
    <s v="Skilled Manual"/>
    <s v="No"/>
    <n v="2"/>
    <x v="0"/>
    <x v="2"/>
    <n v="42"/>
    <x v="0"/>
    <x v="0"/>
  </r>
  <r>
    <n v="27074"/>
    <x v="0"/>
    <x v="0"/>
    <n v="70000"/>
    <n v="1"/>
    <x v="4"/>
    <s v="Skilled Manual"/>
    <s v="Yes"/>
    <n v="0"/>
    <x v="0"/>
    <x v="2"/>
    <n v="35"/>
    <x v="2"/>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2"/>
    <x v="0"/>
  </r>
  <r>
    <n v="13873"/>
    <x v="0"/>
    <x v="1"/>
    <n v="70000"/>
    <n v="3"/>
    <x v="4"/>
    <s v="Professional"/>
    <s v="Yes"/>
    <n v="0"/>
    <x v="0"/>
    <x v="2"/>
    <n v="35"/>
    <x v="2"/>
    <x v="1"/>
  </r>
  <r>
    <n v="20401"/>
    <x v="0"/>
    <x v="0"/>
    <n v="50000"/>
    <n v="4"/>
    <x v="0"/>
    <s v="Management"/>
    <s v="Yes"/>
    <n v="2"/>
    <x v="3"/>
    <x v="2"/>
    <n v="64"/>
    <x v="1"/>
    <x v="1"/>
  </r>
  <r>
    <n v="21583"/>
    <x v="0"/>
    <x v="0"/>
    <n v="50000"/>
    <n v="1"/>
    <x v="0"/>
    <s v="Skilled Manual"/>
    <s v="Yes"/>
    <n v="0"/>
    <x v="0"/>
    <x v="2"/>
    <n v="34"/>
    <x v="2"/>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2"/>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2"/>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2"/>
    <x v="1"/>
  </r>
  <r>
    <n v="22719"/>
    <x v="1"/>
    <x v="1"/>
    <n v="110000"/>
    <n v="3"/>
    <x v="0"/>
    <s v="Management"/>
    <s v="Yes"/>
    <n v="4"/>
    <x v="1"/>
    <x v="2"/>
    <n v="40"/>
    <x v="0"/>
    <x v="1"/>
  </r>
  <r>
    <n v="22042"/>
    <x v="0"/>
    <x v="0"/>
    <n v="70000"/>
    <n v="0"/>
    <x v="1"/>
    <s v="Skilled Manual"/>
    <s v="Yes"/>
    <n v="2"/>
    <x v="2"/>
    <x v="2"/>
    <n v="34"/>
    <x v="2"/>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2"/>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2"/>
    <x v="0"/>
  </r>
  <r>
    <n v="21587"/>
    <x v="0"/>
    <x v="0"/>
    <n v="60000"/>
    <n v="1"/>
    <x v="4"/>
    <s v="Skilled Manual"/>
    <s v="Yes"/>
    <n v="0"/>
    <x v="1"/>
    <x v="2"/>
    <n v="34"/>
    <x v="2"/>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2"/>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2"/>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2"/>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2"/>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2"/>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2"/>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117FB-F13F-4A0C-92EC-5FDAF0E6753B}"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3" firstHeaderRow="1" firstDataRow="2" firstDataCol="1"/>
  <pivotFields count="14">
    <pivotField showAll="0"/>
    <pivotField showAll="0">
      <items count="3">
        <item x="0"/>
        <item x="1"/>
        <item t="default"/>
      </items>
    </pivotField>
    <pivotField showAll="0">
      <items count="3">
        <item x="0"/>
        <item x="1"/>
        <item t="default"/>
      </items>
    </pivotField>
    <pivotField numFmtId="1" showAll="0"/>
    <pivotField showAll="0"/>
    <pivotField showAll="0">
      <items count="6">
        <item x="0"/>
        <item x="4"/>
        <item x="2"/>
        <item x="1"/>
        <item x="3"/>
        <item t="default"/>
      </items>
    </pivotField>
    <pivotField showAll="0"/>
    <pivotField showAll="0"/>
    <pivotField showAll="0"/>
    <pivotField dataField="1" showAll="0"/>
    <pivotField showAll="0">
      <items count="4">
        <item x="0"/>
        <item x="2"/>
        <item x="1"/>
        <item t="default"/>
      </items>
    </pivotField>
    <pivotField showAll="0"/>
    <pivotField axis="axisRow" showAll="0">
      <items count="4">
        <item x="2"/>
        <item x="1"/>
        <item x="0"/>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Commute Distance" fld="9"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65DBE8-6B29-41D9-8878-1E1B471D971D}" name="PivotTable1" cacheId="2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9">
  <location ref="E6:H10"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EAEEA6-9AC6-45C9-8F5E-B45F1EB18C6F}"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8:E55" firstHeaderRow="1" firstDataRow="2" firstDataCol="1"/>
  <pivotFields count="14">
    <pivotField showAll="0"/>
    <pivotField showAll="0">
      <items count="3">
        <item x="0"/>
        <item x="1"/>
        <item t="default"/>
      </items>
    </pivotField>
    <pivotField showAll="0">
      <items count="3">
        <item x="0"/>
        <item x="1"/>
        <item t="default"/>
      </items>
    </pivotField>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7A1CF34-BD88-4396-ABD2-0DCE9E9600C0}" sourceName="Marital Status">
  <pivotTables>
    <pivotTable tabId="4" name="PivotTable1"/>
    <pivotTable tabId="4" name="PivotTable3"/>
    <pivotTable tabId="4" name="PivotTable5"/>
  </pivotTables>
  <data>
    <tabular pivotCacheId="7800484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12F771A-5130-4DE6-853B-7F1858A85836}" sourceName="Education">
  <pivotTables>
    <pivotTable tabId="4" name="PivotTable3"/>
    <pivotTable tabId="4" name="PivotTable1"/>
    <pivotTable tabId="4" name="PivotTable5"/>
  </pivotTables>
  <data>
    <tabular pivotCacheId="78004841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2C8888-76F1-423C-8EAE-E6C88AD02520}" sourceName="Region">
  <pivotTables>
    <pivotTable tabId="4" name="PivotTable1"/>
    <pivotTable tabId="4" name="PivotTable3"/>
    <pivotTable tabId="4" name="PivotTable5"/>
  </pivotTables>
  <data>
    <tabular pivotCacheId="78004841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FE6A367-A2F3-46A8-A2EC-6AED302EA22F}" sourceName="Gender">
  <pivotTables>
    <pivotTable tabId="4" name="PivotTable3"/>
    <pivotTable tabId="4" name="PivotTable1"/>
    <pivotTable tabId="4" name="PivotTable5"/>
  </pivotTables>
  <data>
    <tabular pivotCacheId="78004841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2C0E4D5-A5C0-49BB-9F80-054EDE33B8B9}" cache="Slicer_Marital_Status" caption="Marital Status" rowHeight="241300"/>
  <slicer name="Education" xr10:uid="{96D2BEAD-4AE5-42F2-8953-35F35B7EAD0B}" cache="Slicer_Education" caption="Education" rowHeight="241300"/>
  <slicer name="Region" xr10:uid="{BE6CEBE6-7633-4C6A-9400-C90922F1331E}" cache="Slicer_Region" caption="Region" rowHeight="241300"/>
  <slicer name="Gender" xr10:uid="{29005ED0-682D-4898-926D-D74CEE715223}"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6" workbookViewId="0">
      <selection activeCell="I12" sqref="I1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A8C4-8A2C-4722-B50A-CCEE80BEE5AF}">
  <dimension ref="A1:N1027"/>
  <sheetViews>
    <sheetView topLeftCell="B980" workbookViewId="0">
      <selection activeCell="L994" sqref="L994"/>
    </sheetView>
  </sheetViews>
  <sheetFormatPr defaultColWidth="11.85546875" defaultRowHeight="15" x14ac:dyDescent="0.25"/>
  <cols>
    <col min="4" max="4" width="11.85546875" style="3"/>
    <col min="6" max="6" width="18.140625" customWidth="1"/>
    <col min="7" max="7" width="17.42578125" customWidth="1"/>
    <col min="10" max="10" width="18" customWidth="1"/>
    <col min="13" max="13" width="13.2851562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IF(L2&lt;36,"Young Adults",IF(L2&lt;56,"Middle Aged",IF(L2&gt;55,"Old")))</f>
        <v>Middle Aged</v>
      </c>
      <c r="N2" t="s">
        <v>18</v>
      </c>
    </row>
    <row r="3" spans="1:14" x14ac:dyDescent="0.25">
      <c r="A3">
        <v>24107</v>
      </c>
      <c r="B3" t="s">
        <v>36</v>
      </c>
      <c r="C3" t="s">
        <v>39</v>
      </c>
      <c r="D3" s="3">
        <v>30000</v>
      </c>
      <c r="E3">
        <v>3</v>
      </c>
      <c r="F3" t="s">
        <v>19</v>
      </c>
      <c r="G3" t="s">
        <v>20</v>
      </c>
      <c r="H3" t="s">
        <v>15</v>
      </c>
      <c r="I3">
        <v>1</v>
      </c>
      <c r="J3" t="s">
        <v>16</v>
      </c>
      <c r="K3" t="s">
        <v>17</v>
      </c>
      <c r="L3">
        <v>43</v>
      </c>
      <c r="M3" t="str">
        <f t="shared" ref="M3:M66" si="0">IF(L3&lt;36,"Young Adults",IF(L3&lt;56,"Middle Aged",IF(L3&gt;55,"Old")))</f>
        <v>Middle Aged</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Aged</v>
      </c>
      <c r="N5" t="s">
        <v>15</v>
      </c>
    </row>
    <row r="6" spans="1:14" x14ac:dyDescent="0.25">
      <c r="A6">
        <v>25597</v>
      </c>
      <c r="B6" t="s">
        <v>37</v>
      </c>
      <c r="C6" t="s">
        <v>39</v>
      </c>
      <c r="D6" s="3">
        <v>30000</v>
      </c>
      <c r="E6">
        <v>0</v>
      </c>
      <c r="F6" t="s">
        <v>13</v>
      </c>
      <c r="G6" t="s">
        <v>20</v>
      </c>
      <c r="H6" t="s">
        <v>18</v>
      </c>
      <c r="I6">
        <v>0</v>
      </c>
      <c r="J6" t="s">
        <v>16</v>
      </c>
      <c r="K6" t="s">
        <v>17</v>
      </c>
      <c r="L6">
        <v>36</v>
      </c>
      <c r="M6" t="str">
        <f t="shared" si="0"/>
        <v>Middle Aged</v>
      </c>
      <c r="N6" t="s">
        <v>15</v>
      </c>
    </row>
    <row r="7" spans="1:14" x14ac:dyDescent="0.25">
      <c r="A7">
        <v>13507</v>
      </c>
      <c r="B7" t="s">
        <v>36</v>
      </c>
      <c r="C7" t="s">
        <v>38</v>
      </c>
      <c r="D7" s="3">
        <v>10000</v>
      </c>
      <c r="E7">
        <v>2</v>
      </c>
      <c r="F7" t="s">
        <v>19</v>
      </c>
      <c r="G7" t="s">
        <v>25</v>
      </c>
      <c r="H7" t="s">
        <v>15</v>
      </c>
      <c r="I7">
        <v>0</v>
      </c>
      <c r="J7" t="s">
        <v>26</v>
      </c>
      <c r="K7" t="s">
        <v>17</v>
      </c>
      <c r="L7">
        <v>50</v>
      </c>
      <c r="M7" t="str">
        <f t="shared" si="0"/>
        <v>Middle Aged</v>
      </c>
      <c r="N7" t="s">
        <v>18</v>
      </c>
    </row>
    <row r="8" spans="1:14" x14ac:dyDescent="0.25">
      <c r="A8">
        <v>27974</v>
      </c>
      <c r="B8" t="s">
        <v>37</v>
      </c>
      <c r="C8" t="s">
        <v>39</v>
      </c>
      <c r="D8" s="3">
        <v>160000</v>
      </c>
      <c r="E8">
        <v>2</v>
      </c>
      <c r="F8" t="s">
        <v>27</v>
      </c>
      <c r="G8" t="s">
        <v>28</v>
      </c>
      <c r="H8" t="s">
        <v>15</v>
      </c>
      <c r="I8">
        <v>4</v>
      </c>
      <c r="J8" t="s">
        <v>16</v>
      </c>
      <c r="K8" t="s">
        <v>24</v>
      </c>
      <c r="L8">
        <v>33</v>
      </c>
      <c r="M8" t="str">
        <f t="shared" si="0"/>
        <v>Young Adults</v>
      </c>
      <c r="N8" t="s">
        <v>15</v>
      </c>
    </row>
    <row r="9" spans="1:14" x14ac:dyDescent="0.25">
      <c r="A9">
        <v>19364</v>
      </c>
      <c r="B9" t="s">
        <v>36</v>
      </c>
      <c r="C9" t="s">
        <v>39</v>
      </c>
      <c r="D9" s="3">
        <v>40000</v>
      </c>
      <c r="E9">
        <v>1</v>
      </c>
      <c r="F9" t="s">
        <v>13</v>
      </c>
      <c r="G9" t="s">
        <v>14</v>
      </c>
      <c r="H9" t="s">
        <v>15</v>
      </c>
      <c r="I9">
        <v>0</v>
      </c>
      <c r="J9" t="s">
        <v>16</v>
      </c>
      <c r="K9" t="s">
        <v>17</v>
      </c>
      <c r="L9">
        <v>43</v>
      </c>
      <c r="M9" t="str">
        <f t="shared" si="0"/>
        <v>Middle Aged</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25">
      <c r="A13">
        <v>12697</v>
      </c>
      <c r="B13" t="s">
        <v>37</v>
      </c>
      <c r="C13" t="s">
        <v>38</v>
      </c>
      <c r="D13" s="3">
        <v>90000</v>
      </c>
      <c r="E13">
        <v>0</v>
      </c>
      <c r="F13" t="s">
        <v>13</v>
      </c>
      <c r="G13" t="s">
        <v>21</v>
      </c>
      <c r="H13" t="s">
        <v>18</v>
      </c>
      <c r="I13">
        <v>4</v>
      </c>
      <c r="J13" t="s">
        <v>50</v>
      </c>
      <c r="K13" t="s">
        <v>24</v>
      </c>
      <c r="L13">
        <v>36</v>
      </c>
      <c r="M13" t="str">
        <f t="shared" si="0"/>
        <v>Middle Aged</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Middle Aged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Young Adults</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Young Adults</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Middle Aged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25">
      <c r="A23">
        <v>21564</v>
      </c>
      <c r="B23" t="s">
        <v>37</v>
      </c>
      <c r="C23" t="s">
        <v>38</v>
      </c>
      <c r="D23" s="3">
        <v>80000</v>
      </c>
      <c r="E23">
        <v>0</v>
      </c>
      <c r="F23" t="s">
        <v>13</v>
      </c>
      <c r="G23" t="s">
        <v>21</v>
      </c>
      <c r="H23" t="s">
        <v>15</v>
      </c>
      <c r="I23">
        <v>4</v>
      </c>
      <c r="J23" t="s">
        <v>50</v>
      </c>
      <c r="K23" t="s">
        <v>24</v>
      </c>
      <c r="L23">
        <v>35</v>
      </c>
      <c r="M23" t="str">
        <f t="shared" si="0"/>
        <v>Young Adults</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Young Adults</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Young Adults</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Young Adults</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Young Adults</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Young Adults</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Young Adults</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Young Adults</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Young Adults</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Young Adults</v>
      </c>
      <c r="N52" t="s">
        <v>18</v>
      </c>
    </row>
    <row r="53" spans="1:14" x14ac:dyDescent="0.25">
      <c r="A53">
        <v>20619</v>
      </c>
      <c r="B53" t="s">
        <v>37</v>
      </c>
      <c r="C53" t="s">
        <v>39</v>
      </c>
      <c r="D53" s="3">
        <v>80000</v>
      </c>
      <c r="E53">
        <v>0</v>
      </c>
      <c r="F53" t="s">
        <v>13</v>
      </c>
      <c r="G53" t="s">
        <v>21</v>
      </c>
      <c r="H53" t="s">
        <v>18</v>
      </c>
      <c r="I53">
        <v>4</v>
      </c>
      <c r="J53" t="s">
        <v>50</v>
      </c>
      <c r="K53" t="s">
        <v>24</v>
      </c>
      <c r="L53">
        <v>35</v>
      </c>
      <c r="M53" t="str">
        <f t="shared" si="0"/>
        <v>Young Adults</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25">
      <c r="A57">
        <v>28906</v>
      </c>
      <c r="B57" t="s">
        <v>36</v>
      </c>
      <c r="C57" t="s">
        <v>39</v>
      </c>
      <c r="D57" s="3">
        <v>80000</v>
      </c>
      <c r="E57">
        <v>4</v>
      </c>
      <c r="F57" t="s">
        <v>27</v>
      </c>
      <c r="G57" t="s">
        <v>21</v>
      </c>
      <c r="H57" t="s">
        <v>15</v>
      </c>
      <c r="I57">
        <v>2</v>
      </c>
      <c r="J57" t="s">
        <v>50</v>
      </c>
      <c r="K57" t="s">
        <v>17</v>
      </c>
      <c r="L57">
        <v>54</v>
      </c>
      <c r="M57" t="str">
        <f t="shared" si="0"/>
        <v>Middle Aged</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Young Adults</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25">
      <c r="A65">
        <v>16185</v>
      </c>
      <c r="B65" t="s">
        <v>37</v>
      </c>
      <c r="C65" t="s">
        <v>39</v>
      </c>
      <c r="D65" s="3">
        <v>60000</v>
      </c>
      <c r="E65">
        <v>4</v>
      </c>
      <c r="F65" t="s">
        <v>13</v>
      </c>
      <c r="G65" t="s">
        <v>21</v>
      </c>
      <c r="H65" t="s">
        <v>15</v>
      </c>
      <c r="I65">
        <v>3</v>
      </c>
      <c r="J65" t="s">
        <v>50</v>
      </c>
      <c r="K65" t="s">
        <v>24</v>
      </c>
      <c r="L65">
        <v>41</v>
      </c>
      <c r="M65" t="str">
        <f t="shared" si="0"/>
        <v>Middle Aged</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IF(L67&lt;36,"Young Adults",IF(L67&lt;56,"Middle Aged",IF(L67&gt;55,"Old")))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Young Adults</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Young Adults</v>
      </c>
      <c r="N71" t="s">
        <v>18</v>
      </c>
    </row>
    <row r="72" spans="1:14" x14ac:dyDescent="0.25">
      <c r="A72">
        <v>14238</v>
      </c>
      <c r="B72" t="s">
        <v>36</v>
      </c>
      <c r="C72" t="s">
        <v>39</v>
      </c>
      <c r="D72" s="3">
        <v>120000</v>
      </c>
      <c r="E72">
        <v>0</v>
      </c>
      <c r="F72" t="s">
        <v>29</v>
      </c>
      <c r="G72" t="s">
        <v>21</v>
      </c>
      <c r="H72" t="s">
        <v>15</v>
      </c>
      <c r="I72">
        <v>4</v>
      </c>
      <c r="J72" t="s">
        <v>50</v>
      </c>
      <c r="K72" t="s">
        <v>24</v>
      </c>
      <c r="L72">
        <v>36</v>
      </c>
      <c r="M72" t="str">
        <f t="shared" si="1"/>
        <v>Middle Aged</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Young Adults</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Young Adults</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Young Adults</v>
      </c>
      <c r="N78" t="s">
        <v>18</v>
      </c>
    </row>
    <row r="79" spans="1:14" x14ac:dyDescent="0.25">
      <c r="A79">
        <v>27969</v>
      </c>
      <c r="B79" t="s">
        <v>36</v>
      </c>
      <c r="C79" t="s">
        <v>39</v>
      </c>
      <c r="D79" s="3">
        <v>80000</v>
      </c>
      <c r="E79">
        <v>0</v>
      </c>
      <c r="F79" t="s">
        <v>13</v>
      </c>
      <c r="G79" t="s">
        <v>21</v>
      </c>
      <c r="H79" t="s">
        <v>15</v>
      </c>
      <c r="I79">
        <v>2</v>
      </c>
      <c r="J79" t="s">
        <v>50</v>
      </c>
      <c r="K79" t="s">
        <v>24</v>
      </c>
      <c r="L79">
        <v>29</v>
      </c>
      <c r="M79" t="str">
        <f t="shared" si="1"/>
        <v>Young Adults</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Young Adults</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Young Adults</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Young Adults</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Young Adults</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Young Adults</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Young Adults</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Middle Aged</v>
      </c>
      <c r="N96" t="s">
        <v>18</v>
      </c>
    </row>
    <row r="97" spans="1:14" x14ac:dyDescent="0.25">
      <c r="A97">
        <v>17197</v>
      </c>
      <c r="B97" t="s">
        <v>37</v>
      </c>
      <c r="C97" t="s">
        <v>38</v>
      </c>
      <c r="D97" s="3">
        <v>90000</v>
      </c>
      <c r="E97">
        <v>5</v>
      </c>
      <c r="F97" t="s">
        <v>19</v>
      </c>
      <c r="G97" t="s">
        <v>21</v>
      </c>
      <c r="H97" t="s">
        <v>15</v>
      </c>
      <c r="I97">
        <v>2</v>
      </c>
      <c r="J97" t="s">
        <v>50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Young Adults</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Young Adults</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Young Adults</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Young Adults</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Young Adults</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Young Adults</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Young Adults</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38</v>
      </c>
      <c r="D124" s="3">
        <v>80000</v>
      </c>
      <c r="E124">
        <v>0</v>
      </c>
      <c r="F124" t="s">
        <v>13</v>
      </c>
      <c r="G124" t="s">
        <v>21</v>
      </c>
      <c r="H124" t="s">
        <v>18</v>
      </c>
      <c r="I124">
        <v>3</v>
      </c>
      <c r="J124" t="s">
        <v>50</v>
      </c>
      <c r="K124" t="s">
        <v>24</v>
      </c>
      <c r="L124">
        <v>31</v>
      </c>
      <c r="M124" t="str">
        <f t="shared" si="1"/>
        <v>Young Adults</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Young Adults</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IF(L131&lt;36,"Young Adults",IF(L131&lt;56,"Middle Aged",IF(L131&gt;55,"Old")))</f>
        <v>Middle Aged</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Young Adults</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Middle Aged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Young Adults</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38</v>
      </c>
      <c r="D145" s="3">
        <v>80000</v>
      </c>
      <c r="E145">
        <v>0</v>
      </c>
      <c r="F145" t="s">
        <v>13</v>
      </c>
      <c r="G145" t="s">
        <v>21</v>
      </c>
      <c r="H145" t="s">
        <v>15</v>
      </c>
      <c r="I145">
        <v>3</v>
      </c>
      <c r="J145" t="s">
        <v>50</v>
      </c>
      <c r="K145" t="s">
        <v>24</v>
      </c>
      <c r="L145">
        <v>32</v>
      </c>
      <c r="M145" t="str">
        <f t="shared" si="2"/>
        <v>Young Adults</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Young Adults</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Young Adults</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Young Adults</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Young Adults</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Young Adults</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39</v>
      </c>
      <c r="D169" s="3">
        <v>100000</v>
      </c>
      <c r="E169">
        <v>0</v>
      </c>
      <c r="F169" t="s">
        <v>27</v>
      </c>
      <c r="G169" t="s">
        <v>28</v>
      </c>
      <c r="H169" t="s">
        <v>15</v>
      </c>
      <c r="I169">
        <v>3</v>
      </c>
      <c r="J169" t="s">
        <v>50</v>
      </c>
      <c r="K169" t="s">
        <v>24</v>
      </c>
      <c r="L169">
        <v>35</v>
      </c>
      <c r="M169" t="str">
        <f t="shared" si="2"/>
        <v>Young Adults</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Young Adults</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Young Adults</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Young Adults</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39</v>
      </c>
      <c r="D180" s="3">
        <v>160000</v>
      </c>
      <c r="E180">
        <v>4</v>
      </c>
      <c r="F180" t="s">
        <v>19</v>
      </c>
      <c r="G180" t="s">
        <v>21</v>
      </c>
      <c r="H180" t="s">
        <v>18</v>
      </c>
      <c r="I180">
        <v>2</v>
      </c>
      <c r="J180" t="s">
        <v>50</v>
      </c>
      <c r="K180" t="s">
        <v>17</v>
      </c>
      <c r="L180">
        <v>55</v>
      </c>
      <c r="M180" t="str">
        <f t="shared" si="2"/>
        <v>Middle Aged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Middle Aged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50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50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50</v>
      </c>
      <c r="K190" t="s">
        <v>24</v>
      </c>
      <c r="L190">
        <v>32</v>
      </c>
      <c r="M190" t="str">
        <f t="shared" si="2"/>
        <v>Young Adults</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Middle Aged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38</v>
      </c>
      <c r="D194" s="3">
        <v>80000</v>
      </c>
      <c r="E194">
        <v>5</v>
      </c>
      <c r="F194" t="s">
        <v>13</v>
      </c>
      <c r="G194" t="s">
        <v>28</v>
      </c>
      <c r="H194" t="s">
        <v>15</v>
      </c>
      <c r="I194">
        <v>2</v>
      </c>
      <c r="J194" t="s">
        <v>50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50</v>
      </c>
      <c r="K195" t="s">
        <v>24</v>
      </c>
      <c r="L195">
        <v>41</v>
      </c>
      <c r="M195" t="str">
        <f t="shared" ref="M195:M258" si="3">IF(L195&lt;36,"Young Adults",IF(L195&lt;56,"Middle Aged",IF(L195&gt;55,"Old")))</f>
        <v>Middle Aged</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Young Adults</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Young Adults</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39</v>
      </c>
      <c r="D201" s="3">
        <v>80000</v>
      </c>
      <c r="E201">
        <v>0</v>
      </c>
      <c r="F201" t="s">
        <v>13</v>
      </c>
      <c r="G201" t="s">
        <v>21</v>
      </c>
      <c r="H201" t="s">
        <v>18</v>
      </c>
      <c r="I201">
        <v>3</v>
      </c>
      <c r="J201" t="s">
        <v>50</v>
      </c>
      <c r="K201" t="s">
        <v>24</v>
      </c>
      <c r="L201">
        <v>33</v>
      </c>
      <c r="M201" t="str">
        <f t="shared" si="3"/>
        <v>Young Adults</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Young Adults</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Young Adults</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Young Adults</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39</v>
      </c>
      <c r="D208" s="3">
        <v>90000</v>
      </c>
      <c r="E208">
        <v>5</v>
      </c>
      <c r="F208" t="s">
        <v>19</v>
      </c>
      <c r="G208" t="s">
        <v>21</v>
      </c>
      <c r="H208" t="s">
        <v>18</v>
      </c>
      <c r="I208">
        <v>2</v>
      </c>
      <c r="J208" t="s">
        <v>50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Young Adults</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Young Adults</v>
      </c>
      <c r="N214" t="s">
        <v>18</v>
      </c>
    </row>
    <row r="215" spans="1:14" x14ac:dyDescent="0.25">
      <c r="A215">
        <v>11451</v>
      </c>
      <c r="B215" t="s">
        <v>37</v>
      </c>
      <c r="C215" t="s">
        <v>39</v>
      </c>
      <c r="D215" s="3">
        <v>70000</v>
      </c>
      <c r="E215">
        <v>0</v>
      </c>
      <c r="F215" t="s">
        <v>13</v>
      </c>
      <c r="G215" t="s">
        <v>21</v>
      </c>
      <c r="H215" t="s">
        <v>18</v>
      </c>
      <c r="I215">
        <v>4</v>
      </c>
      <c r="J215" t="s">
        <v>50</v>
      </c>
      <c r="K215" t="s">
        <v>24</v>
      </c>
      <c r="L215">
        <v>31</v>
      </c>
      <c r="M215" t="str">
        <f t="shared" si="3"/>
        <v>Young Adults</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Young Adults</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Young Adults</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Young Adults</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38</v>
      </c>
      <c r="D225" s="3">
        <v>70000</v>
      </c>
      <c r="E225">
        <v>5</v>
      </c>
      <c r="F225" t="s">
        <v>13</v>
      </c>
      <c r="G225" t="s">
        <v>21</v>
      </c>
      <c r="H225" t="s">
        <v>15</v>
      </c>
      <c r="I225">
        <v>4</v>
      </c>
      <c r="J225" t="s">
        <v>50</v>
      </c>
      <c r="K225" t="s">
        <v>24</v>
      </c>
      <c r="L225">
        <v>39</v>
      </c>
      <c r="M225" t="str">
        <f t="shared" si="3"/>
        <v>Middle Aged</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Young Adults</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39</v>
      </c>
      <c r="D231" s="3">
        <v>80000</v>
      </c>
      <c r="E231">
        <v>5</v>
      </c>
      <c r="F231" t="s">
        <v>27</v>
      </c>
      <c r="G231" t="s">
        <v>28</v>
      </c>
      <c r="H231" t="s">
        <v>15</v>
      </c>
      <c r="I231">
        <v>3</v>
      </c>
      <c r="J231" t="s">
        <v>50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50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Young Adults</v>
      </c>
      <c r="N235" t="s">
        <v>15</v>
      </c>
    </row>
    <row r="236" spans="1:14" x14ac:dyDescent="0.25">
      <c r="A236">
        <v>24611</v>
      </c>
      <c r="B236" t="s">
        <v>37</v>
      </c>
      <c r="C236" t="s">
        <v>39</v>
      </c>
      <c r="D236" s="3">
        <v>90000</v>
      </c>
      <c r="E236">
        <v>0</v>
      </c>
      <c r="F236" t="s">
        <v>13</v>
      </c>
      <c r="G236" t="s">
        <v>21</v>
      </c>
      <c r="H236" t="s">
        <v>18</v>
      </c>
      <c r="I236">
        <v>4</v>
      </c>
      <c r="J236" t="s">
        <v>50</v>
      </c>
      <c r="K236" t="s">
        <v>24</v>
      </c>
      <c r="L236">
        <v>35</v>
      </c>
      <c r="M236" t="str">
        <f t="shared" si="3"/>
        <v>Young Adults</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Young Adults</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Young Adults</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Young Adults</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Young Adults</v>
      </c>
      <c r="N245" t="s">
        <v>18</v>
      </c>
    </row>
    <row r="246" spans="1:14" x14ac:dyDescent="0.25">
      <c r="A246">
        <v>19057</v>
      </c>
      <c r="B246" t="s">
        <v>36</v>
      </c>
      <c r="C246" t="s">
        <v>38</v>
      </c>
      <c r="D246" s="3">
        <v>120000</v>
      </c>
      <c r="E246">
        <v>3</v>
      </c>
      <c r="F246" t="s">
        <v>13</v>
      </c>
      <c r="G246" t="s">
        <v>28</v>
      </c>
      <c r="H246" t="s">
        <v>18</v>
      </c>
      <c r="I246">
        <v>2</v>
      </c>
      <c r="J246" t="s">
        <v>50</v>
      </c>
      <c r="K246" t="s">
        <v>17</v>
      </c>
      <c r="L246">
        <v>52</v>
      </c>
      <c r="M246" t="str">
        <f t="shared" si="3"/>
        <v>Middle Aged</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38</v>
      </c>
      <c r="D249" s="3">
        <v>100000</v>
      </c>
      <c r="E249">
        <v>0</v>
      </c>
      <c r="F249" t="s">
        <v>27</v>
      </c>
      <c r="G249" t="s">
        <v>28</v>
      </c>
      <c r="H249" t="s">
        <v>15</v>
      </c>
      <c r="I249">
        <v>4</v>
      </c>
      <c r="J249" t="s">
        <v>50</v>
      </c>
      <c r="K249" t="s">
        <v>24</v>
      </c>
      <c r="L249">
        <v>34</v>
      </c>
      <c r="M249" t="str">
        <f t="shared" si="3"/>
        <v>Young Adults</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Middle Aged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Young Adults</v>
      </c>
      <c r="N254" t="s">
        <v>18</v>
      </c>
    </row>
    <row r="255" spans="1:14" x14ac:dyDescent="0.25">
      <c r="A255">
        <v>20598</v>
      </c>
      <c r="B255" t="s">
        <v>36</v>
      </c>
      <c r="C255" t="s">
        <v>39</v>
      </c>
      <c r="D255" s="3">
        <v>100000</v>
      </c>
      <c r="E255">
        <v>3</v>
      </c>
      <c r="F255" t="s">
        <v>29</v>
      </c>
      <c r="G255" t="s">
        <v>21</v>
      </c>
      <c r="H255" t="s">
        <v>15</v>
      </c>
      <c r="I255">
        <v>0</v>
      </c>
      <c r="J255" t="s">
        <v>50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IF(L259&lt;36,"Young Adults",IF(L259&lt;56,"Middle Aged",IF(L259&gt;55,"Old")))</f>
        <v>Middle Aged</v>
      </c>
      <c r="N259" t="s">
        <v>15</v>
      </c>
    </row>
    <row r="260" spans="1:14" x14ac:dyDescent="0.25">
      <c r="A260">
        <v>14193</v>
      </c>
      <c r="B260" t="s">
        <v>37</v>
      </c>
      <c r="C260" t="s">
        <v>38</v>
      </c>
      <c r="D260" s="3">
        <v>100000</v>
      </c>
      <c r="E260">
        <v>3</v>
      </c>
      <c r="F260" t="s">
        <v>19</v>
      </c>
      <c r="G260" t="s">
        <v>28</v>
      </c>
      <c r="H260" t="s">
        <v>15</v>
      </c>
      <c r="I260">
        <v>4</v>
      </c>
      <c r="J260" t="s">
        <v>50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Young Adults</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38</v>
      </c>
      <c r="D265" s="3">
        <v>70000</v>
      </c>
      <c r="E265">
        <v>5</v>
      </c>
      <c r="F265" t="s">
        <v>13</v>
      </c>
      <c r="G265" t="s">
        <v>21</v>
      </c>
      <c r="H265" t="s">
        <v>15</v>
      </c>
      <c r="I265">
        <v>3</v>
      </c>
      <c r="J265" t="s">
        <v>50</v>
      </c>
      <c r="K265" t="s">
        <v>24</v>
      </c>
      <c r="L265">
        <v>39</v>
      </c>
      <c r="M265" t="str">
        <f t="shared" si="4"/>
        <v>Middle Aged</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Young Adults</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Young Adults</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Young Adults</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39</v>
      </c>
      <c r="D280" s="3">
        <v>100000</v>
      </c>
      <c r="E280">
        <v>0</v>
      </c>
      <c r="F280" t="s">
        <v>27</v>
      </c>
      <c r="G280" t="s">
        <v>28</v>
      </c>
      <c r="H280" t="s">
        <v>15</v>
      </c>
      <c r="I280">
        <v>3</v>
      </c>
      <c r="J280" t="s">
        <v>50</v>
      </c>
      <c r="K280" t="s">
        <v>24</v>
      </c>
      <c r="L280">
        <v>35</v>
      </c>
      <c r="M280" t="str">
        <f t="shared" si="4"/>
        <v>Young Adults</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Young Adults</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38</v>
      </c>
      <c r="D297" s="3">
        <v>110000</v>
      </c>
      <c r="E297">
        <v>0</v>
      </c>
      <c r="F297" t="s">
        <v>19</v>
      </c>
      <c r="G297" t="s">
        <v>28</v>
      </c>
      <c r="H297" t="s">
        <v>15</v>
      </c>
      <c r="I297">
        <v>3</v>
      </c>
      <c r="J297" t="s">
        <v>50</v>
      </c>
      <c r="K297" t="s">
        <v>24</v>
      </c>
      <c r="L297">
        <v>32</v>
      </c>
      <c r="M297" t="str">
        <f t="shared" si="4"/>
        <v>Young Adults</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Young Adults</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Young Adults</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Young Adults</v>
      </c>
      <c r="N319" t="s">
        <v>15</v>
      </c>
    </row>
    <row r="320" spans="1:14" x14ac:dyDescent="0.25">
      <c r="A320">
        <v>19066</v>
      </c>
      <c r="B320" t="s">
        <v>36</v>
      </c>
      <c r="C320" t="s">
        <v>39</v>
      </c>
      <c r="D320" s="3">
        <v>130000</v>
      </c>
      <c r="E320">
        <v>4</v>
      </c>
      <c r="F320" t="s">
        <v>19</v>
      </c>
      <c r="G320" t="s">
        <v>21</v>
      </c>
      <c r="H320" t="s">
        <v>18</v>
      </c>
      <c r="I320">
        <v>3</v>
      </c>
      <c r="J320" t="s">
        <v>50</v>
      </c>
      <c r="K320" t="s">
        <v>17</v>
      </c>
      <c r="L320">
        <v>54</v>
      </c>
      <c r="M320" t="str">
        <f t="shared" si="4"/>
        <v>Middle Aged</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IF(L323&lt;36,"Young Adults",IF(L323&lt;56,"Middle Aged",IF(L323&gt;55,"Old")))</f>
        <v>Middle Aged</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Young Adults</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38</v>
      </c>
      <c r="D331" s="3">
        <v>90000</v>
      </c>
      <c r="E331">
        <v>5</v>
      </c>
      <c r="F331" t="s">
        <v>29</v>
      </c>
      <c r="G331" t="s">
        <v>14</v>
      </c>
      <c r="H331" t="s">
        <v>15</v>
      </c>
      <c r="I331">
        <v>2</v>
      </c>
      <c r="J331" t="s">
        <v>50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50</v>
      </c>
      <c r="K332" t="s">
        <v>24</v>
      </c>
      <c r="L332">
        <v>32</v>
      </c>
      <c r="M332" t="str">
        <f t="shared" si="5"/>
        <v>Young Adults</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Young Adults</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Young Adults</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Young Adults</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Young Adults</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Young Adults</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Young Adults</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Young Adults</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Young Adults</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Young Adults</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Young Adults</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Young Adults</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39</v>
      </c>
      <c r="D357" s="3">
        <v>80000</v>
      </c>
      <c r="E357">
        <v>0</v>
      </c>
      <c r="F357" t="s">
        <v>13</v>
      </c>
      <c r="G357" t="s">
        <v>21</v>
      </c>
      <c r="H357" t="s">
        <v>15</v>
      </c>
      <c r="I357">
        <v>3</v>
      </c>
      <c r="J357" t="s">
        <v>50</v>
      </c>
      <c r="K357" t="s">
        <v>24</v>
      </c>
      <c r="L357">
        <v>32</v>
      </c>
      <c r="M357" t="str">
        <f t="shared" si="5"/>
        <v>Young Adults</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Young Adults</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50</v>
      </c>
      <c r="K361" t="s">
        <v>24</v>
      </c>
      <c r="L361">
        <v>30</v>
      </c>
      <c r="M361" t="str">
        <f t="shared" si="5"/>
        <v>Young Adults</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Young Adults</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Young Adults</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38</v>
      </c>
      <c r="D372" s="3">
        <v>100000</v>
      </c>
      <c r="E372">
        <v>4</v>
      </c>
      <c r="F372" t="s">
        <v>13</v>
      </c>
      <c r="G372" t="s">
        <v>21</v>
      </c>
      <c r="H372" t="s">
        <v>15</v>
      </c>
      <c r="I372">
        <v>1</v>
      </c>
      <c r="J372" t="s">
        <v>50</v>
      </c>
      <c r="K372" t="s">
        <v>24</v>
      </c>
      <c r="L372">
        <v>46</v>
      </c>
      <c r="M372" t="str">
        <f t="shared" si="5"/>
        <v>Middle Aged</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Young Adults</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39</v>
      </c>
      <c r="D382" s="3">
        <v>70000</v>
      </c>
      <c r="E382">
        <v>0</v>
      </c>
      <c r="F382" t="s">
        <v>13</v>
      </c>
      <c r="G382" t="s">
        <v>21</v>
      </c>
      <c r="H382" t="s">
        <v>18</v>
      </c>
      <c r="I382">
        <v>3</v>
      </c>
      <c r="J382" t="s">
        <v>50</v>
      </c>
      <c r="K382" t="s">
        <v>24</v>
      </c>
      <c r="L382">
        <v>30</v>
      </c>
      <c r="M382" t="str">
        <f t="shared" si="5"/>
        <v>Young Adults</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50</v>
      </c>
      <c r="K384" t="s">
        <v>17</v>
      </c>
      <c r="L384">
        <v>53</v>
      </c>
      <c r="M384" t="str">
        <f t="shared" si="5"/>
        <v>Middle Aged</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Young Adults</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IF(L387&lt;36,"Young Adults",IF(L387&lt;56,"Middle Aged",IF(L387&gt;55,"Old")))</f>
        <v>Middle Aged</v>
      </c>
      <c r="N387" t="s">
        <v>18</v>
      </c>
    </row>
    <row r="388" spans="1:14" x14ac:dyDescent="0.25">
      <c r="A388">
        <v>28957</v>
      </c>
      <c r="B388" t="s">
        <v>37</v>
      </c>
      <c r="C388" t="s">
        <v>38</v>
      </c>
      <c r="D388" s="3">
        <v>120000</v>
      </c>
      <c r="E388">
        <v>0</v>
      </c>
      <c r="F388" t="s">
        <v>29</v>
      </c>
      <c r="G388" t="s">
        <v>21</v>
      </c>
      <c r="H388" t="s">
        <v>15</v>
      </c>
      <c r="I388">
        <v>4</v>
      </c>
      <c r="J388" t="s">
        <v>50</v>
      </c>
      <c r="K388" t="s">
        <v>24</v>
      </c>
      <c r="L388">
        <v>34</v>
      </c>
      <c r="M388" t="str">
        <f t="shared" si="6"/>
        <v>Young Adults</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Young Adults</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Young Adults</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38</v>
      </c>
      <c r="D402" s="3">
        <v>110000</v>
      </c>
      <c r="E402">
        <v>3</v>
      </c>
      <c r="F402" t="s">
        <v>13</v>
      </c>
      <c r="G402" t="s">
        <v>28</v>
      </c>
      <c r="H402" t="s">
        <v>15</v>
      </c>
      <c r="I402">
        <v>4</v>
      </c>
      <c r="J402" t="s">
        <v>50</v>
      </c>
      <c r="K402" t="s">
        <v>17</v>
      </c>
      <c r="L402">
        <v>53</v>
      </c>
      <c r="M402" t="str">
        <f t="shared" si="6"/>
        <v>Middle Aged</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Young Adults</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Young Adults</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Young Adults</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38</v>
      </c>
      <c r="D422" s="3">
        <v>100000</v>
      </c>
      <c r="E422">
        <v>2</v>
      </c>
      <c r="F422" t="s">
        <v>13</v>
      </c>
      <c r="G422" t="s">
        <v>28</v>
      </c>
      <c r="H422" t="s">
        <v>15</v>
      </c>
      <c r="I422">
        <v>4</v>
      </c>
      <c r="J422" t="s">
        <v>50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39</v>
      </c>
      <c r="D424" s="3">
        <v>110000</v>
      </c>
      <c r="E424">
        <v>0</v>
      </c>
      <c r="F424" t="s">
        <v>19</v>
      </c>
      <c r="G424" t="s">
        <v>28</v>
      </c>
      <c r="H424" t="s">
        <v>18</v>
      </c>
      <c r="I424">
        <v>3</v>
      </c>
      <c r="J424" t="s">
        <v>50</v>
      </c>
      <c r="K424" t="s">
        <v>24</v>
      </c>
      <c r="L424">
        <v>32</v>
      </c>
      <c r="M424" t="str">
        <f t="shared" si="6"/>
        <v>Young Adults</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Young Adults</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Young Adults</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Young Adults</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Middle Aged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Young Adults</v>
      </c>
      <c r="N433" t="s">
        <v>15</v>
      </c>
    </row>
    <row r="434" spans="1:14" x14ac:dyDescent="0.25">
      <c r="A434">
        <v>21891</v>
      </c>
      <c r="B434" t="s">
        <v>36</v>
      </c>
      <c r="C434" t="s">
        <v>38</v>
      </c>
      <c r="D434" s="3">
        <v>110000</v>
      </c>
      <c r="E434">
        <v>0</v>
      </c>
      <c r="F434" t="s">
        <v>27</v>
      </c>
      <c r="G434" t="s">
        <v>28</v>
      </c>
      <c r="H434" t="s">
        <v>15</v>
      </c>
      <c r="I434">
        <v>3</v>
      </c>
      <c r="J434" t="s">
        <v>50</v>
      </c>
      <c r="K434" t="s">
        <v>24</v>
      </c>
      <c r="L434">
        <v>34</v>
      </c>
      <c r="M434" t="str">
        <f t="shared" si="6"/>
        <v>Young Adults</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Young Adults</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Young Adults</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39</v>
      </c>
      <c r="D442" s="3">
        <v>90000</v>
      </c>
      <c r="E442">
        <v>0</v>
      </c>
      <c r="F442" t="s">
        <v>13</v>
      </c>
      <c r="G442" t="s">
        <v>21</v>
      </c>
      <c r="H442" t="s">
        <v>18</v>
      </c>
      <c r="I442">
        <v>3</v>
      </c>
      <c r="J442" t="s">
        <v>50</v>
      </c>
      <c r="K442" t="s">
        <v>24</v>
      </c>
      <c r="L442">
        <v>34</v>
      </c>
      <c r="M442" t="str">
        <f t="shared" si="6"/>
        <v>Young Adults</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Young Adults</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Young Adults</v>
      </c>
      <c r="N447" t="s">
        <v>15</v>
      </c>
    </row>
    <row r="448" spans="1:14" x14ac:dyDescent="0.25">
      <c r="A448">
        <v>14278</v>
      </c>
      <c r="B448" t="s">
        <v>36</v>
      </c>
      <c r="C448" t="s">
        <v>38</v>
      </c>
      <c r="D448" s="3">
        <v>130000</v>
      </c>
      <c r="E448">
        <v>0</v>
      </c>
      <c r="F448" t="s">
        <v>31</v>
      </c>
      <c r="G448" t="s">
        <v>28</v>
      </c>
      <c r="H448" t="s">
        <v>15</v>
      </c>
      <c r="I448">
        <v>1</v>
      </c>
      <c r="J448" t="s">
        <v>50</v>
      </c>
      <c r="K448" t="s">
        <v>24</v>
      </c>
      <c r="L448">
        <v>48</v>
      </c>
      <c r="M448" t="str">
        <f t="shared" si="6"/>
        <v>Middle Aged</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Young Adults</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IF(L451&lt;36,"Young Adults",IF(L451&lt;56,"Middle Aged",IF(L451&gt;55,"Old")))</f>
        <v>Middle Aged</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Young Adults</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50</v>
      </c>
      <c r="K460" t="s">
        <v>24</v>
      </c>
      <c r="L460">
        <v>32</v>
      </c>
      <c r="M460" t="str">
        <f t="shared" si="7"/>
        <v>Young Adults</v>
      </c>
      <c r="N460" t="s">
        <v>15</v>
      </c>
    </row>
    <row r="461" spans="1:14" x14ac:dyDescent="0.25">
      <c r="A461">
        <v>21554</v>
      </c>
      <c r="B461" t="s">
        <v>37</v>
      </c>
      <c r="C461" t="s">
        <v>38</v>
      </c>
      <c r="D461" s="3">
        <v>80000</v>
      </c>
      <c r="E461">
        <v>0</v>
      </c>
      <c r="F461" t="s">
        <v>13</v>
      </c>
      <c r="G461" t="s">
        <v>21</v>
      </c>
      <c r="H461" t="s">
        <v>18</v>
      </c>
      <c r="I461">
        <v>3</v>
      </c>
      <c r="J461" t="s">
        <v>50</v>
      </c>
      <c r="K461" t="s">
        <v>24</v>
      </c>
      <c r="L461">
        <v>33</v>
      </c>
      <c r="M461" t="str">
        <f t="shared" si="7"/>
        <v>Young Adults</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Young Adults</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Young Adults</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Young Adults</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Young Adults</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Young Adults</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Young Adults</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38</v>
      </c>
      <c r="D488" s="3">
        <v>90000</v>
      </c>
      <c r="E488">
        <v>4</v>
      </c>
      <c r="F488" t="s">
        <v>29</v>
      </c>
      <c r="G488" t="s">
        <v>14</v>
      </c>
      <c r="H488" t="s">
        <v>15</v>
      </c>
      <c r="I488">
        <v>4</v>
      </c>
      <c r="J488" t="s">
        <v>50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Young Adults</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Young Adults</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Young Adults</v>
      </c>
      <c r="N494" t="s">
        <v>15</v>
      </c>
    </row>
    <row r="495" spans="1:14" x14ac:dyDescent="0.25">
      <c r="A495">
        <v>23707</v>
      </c>
      <c r="B495" t="s">
        <v>37</v>
      </c>
      <c r="C495" t="s">
        <v>39</v>
      </c>
      <c r="D495" s="3">
        <v>70000</v>
      </c>
      <c r="E495">
        <v>5</v>
      </c>
      <c r="F495" t="s">
        <v>13</v>
      </c>
      <c r="G495" t="s">
        <v>28</v>
      </c>
      <c r="H495" t="s">
        <v>15</v>
      </c>
      <c r="I495">
        <v>3</v>
      </c>
      <c r="J495" t="s">
        <v>50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39</v>
      </c>
      <c r="D497" s="3">
        <v>60000</v>
      </c>
      <c r="E497">
        <v>2</v>
      </c>
      <c r="F497" t="s">
        <v>19</v>
      </c>
      <c r="G497" t="s">
        <v>21</v>
      </c>
      <c r="H497" t="s">
        <v>15</v>
      </c>
      <c r="I497">
        <v>2</v>
      </c>
      <c r="J497" t="s">
        <v>50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Young Adults</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Young Adults</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Young Adults</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Young Adults</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Young Adults</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38</v>
      </c>
      <c r="D515" s="3">
        <v>60000</v>
      </c>
      <c r="E515">
        <v>4</v>
      </c>
      <c r="F515" t="s">
        <v>31</v>
      </c>
      <c r="G515" t="s">
        <v>28</v>
      </c>
      <c r="H515" t="s">
        <v>15</v>
      </c>
      <c r="I515">
        <v>2</v>
      </c>
      <c r="J515" t="s">
        <v>50</v>
      </c>
      <c r="K515" t="s">
        <v>32</v>
      </c>
      <c r="L515">
        <v>61</v>
      </c>
      <c r="M515" t="str">
        <f t="shared" ref="M515:M578" si="8">IF(L515&lt;36,"Young Adults",IF(L515&lt;56,"Middle Aged",IF(L515&gt;55,"Old")))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Young Adults</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39</v>
      </c>
      <c r="D523" s="3">
        <v>40000</v>
      </c>
      <c r="E523">
        <v>4</v>
      </c>
      <c r="F523" t="s">
        <v>27</v>
      </c>
      <c r="G523" t="s">
        <v>21</v>
      </c>
      <c r="H523" t="s">
        <v>15</v>
      </c>
      <c r="I523">
        <v>2</v>
      </c>
      <c r="J523" t="s">
        <v>50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50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Young Adults</v>
      </c>
      <c r="N530" t="s">
        <v>18</v>
      </c>
    </row>
    <row r="531" spans="1:14" x14ac:dyDescent="0.25">
      <c r="A531">
        <v>13233</v>
      </c>
      <c r="B531" t="s">
        <v>36</v>
      </c>
      <c r="C531" t="s">
        <v>39</v>
      </c>
      <c r="D531" s="3">
        <v>60000</v>
      </c>
      <c r="E531">
        <v>2</v>
      </c>
      <c r="F531" t="s">
        <v>19</v>
      </c>
      <c r="G531" t="s">
        <v>21</v>
      </c>
      <c r="H531" t="s">
        <v>15</v>
      </c>
      <c r="I531">
        <v>1</v>
      </c>
      <c r="J531" t="s">
        <v>50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Young Adults</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Young Adults</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39</v>
      </c>
      <c r="D535" s="3">
        <v>60000</v>
      </c>
      <c r="E535">
        <v>3</v>
      </c>
      <c r="F535" t="s">
        <v>13</v>
      </c>
      <c r="G535" t="s">
        <v>28</v>
      </c>
      <c r="H535" t="s">
        <v>15</v>
      </c>
      <c r="I535">
        <v>2</v>
      </c>
      <c r="J535" t="s">
        <v>50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50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50</v>
      </c>
      <c r="K537" t="s">
        <v>32</v>
      </c>
      <c r="L537">
        <v>41</v>
      </c>
      <c r="M537" t="str">
        <f t="shared" si="8"/>
        <v>Middle Aged</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Young Adults</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Young Adults</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Young Adults</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Middle Aged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38</v>
      </c>
      <c r="D553" s="3">
        <v>50000</v>
      </c>
      <c r="E553">
        <v>4</v>
      </c>
      <c r="F553" t="s">
        <v>13</v>
      </c>
      <c r="G553" t="s">
        <v>28</v>
      </c>
      <c r="H553" t="s">
        <v>15</v>
      </c>
      <c r="I553">
        <v>2</v>
      </c>
      <c r="J553" t="s">
        <v>50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50</v>
      </c>
      <c r="K554" t="s">
        <v>32</v>
      </c>
      <c r="L554">
        <v>54</v>
      </c>
      <c r="M554" t="str">
        <f t="shared" si="8"/>
        <v>Middle Aged</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Young Adults</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38</v>
      </c>
      <c r="D561" s="3">
        <v>60000</v>
      </c>
      <c r="E561">
        <v>2</v>
      </c>
      <c r="F561" t="s">
        <v>13</v>
      </c>
      <c r="G561" t="s">
        <v>28</v>
      </c>
      <c r="H561" t="s">
        <v>15</v>
      </c>
      <c r="I561">
        <v>0</v>
      </c>
      <c r="J561" t="s">
        <v>50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Young Adults</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Young Adults</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Young Adults</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39</v>
      </c>
      <c r="D571" s="3">
        <v>50000</v>
      </c>
      <c r="E571">
        <v>3</v>
      </c>
      <c r="F571" t="s">
        <v>31</v>
      </c>
      <c r="G571" t="s">
        <v>28</v>
      </c>
      <c r="H571" t="s">
        <v>15</v>
      </c>
      <c r="I571">
        <v>2</v>
      </c>
      <c r="J571" t="s">
        <v>50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Middle Aged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Young Adults</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Young Adults</v>
      </c>
      <c r="N576" t="s">
        <v>15</v>
      </c>
    </row>
    <row r="577" spans="1:14" x14ac:dyDescent="0.25">
      <c r="A577">
        <v>13388</v>
      </c>
      <c r="B577" t="s">
        <v>37</v>
      </c>
      <c r="C577" t="s">
        <v>39</v>
      </c>
      <c r="D577" s="3">
        <v>60000</v>
      </c>
      <c r="E577">
        <v>2</v>
      </c>
      <c r="F577" t="s">
        <v>19</v>
      </c>
      <c r="G577" t="s">
        <v>21</v>
      </c>
      <c r="H577" t="s">
        <v>15</v>
      </c>
      <c r="I577">
        <v>1</v>
      </c>
      <c r="J577" t="s">
        <v>50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Young Adults</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IF(L579&lt;36,"Young Adults",IF(L579&lt;56,"Middle Aged",IF(L579&gt;55,"Old")))</f>
        <v>Middle Aged</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Young Adults</v>
      </c>
      <c r="N581" t="s">
        <v>18</v>
      </c>
    </row>
    <row r="582" spans="1:14" x14ac:dyDescent="0.25">
      <c r="A582">
        <v>20380</v>
      </c>
      <c r="B582" t="s">
        <v>36</v>
      </c>
      <c r="C582" t="s">
        <v>38</v>
      </c>
      <c r="D582" s="3">
        <v>60000</v>
      </c>
      <c r="E582">
        <v>3</v>
      </c>
      <c r="F582" t="s">
        <v>31</v>
      </c>
      <c r="G582" t="s">
        <v>28</v>
      </c>
      <c r="H582" t="s">
        <v>15</v>
      </c>
      <c r="I582">
        <v>2</v>
      </c>
      <c r="J582" t="s">
        <v>50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Young Adults</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39</v>
      </c>
      <c r="D585" s="3">
        <v>60000</v>
      </c>
      <c r="E585">
        <v>3</v>
      </c>
      <c r="F585" t="s">
        <v>13</v>
      </c>
      <c r="G585" t="s">
        <v>28</v>
      </c>
      <c r="H585" t="s">
        <v>15</v>
      </c>
      <c r="I585">
        <v>2</v>
      </c>
      <c r="J585" t="s">
        <v>50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38</v>
      </c>
      <c r="D590" s="3">
        <v>90000</v>
      </c>
      <c r="E590">
        <v>2</v>
      </c>
      <c r="F590" t="s">
        <v>27</v>
      </c>
      <c r="G590" t="s">
        <v>21</v>
      </c>
      <c r="H590" t="s">
        <v>15</v>
      </c>
      <c r="I590">
        <v>1</v>
      </c>
      <c r="J590" t="s">
        <v>50</v>
      </c>
      <c r="K590" t="s">
        <v>32</v>
      </c>
      <c r="L590">
        <v>51</v>
      </c>
      <c r="M590" t="str">
        <f t="shared" si="9"/>
        <v>Middle Aged</v>
      </c>
      <c r="N590" t="s">
        <v>15</v>
      </c>
    </row>
    <row r="591" spans="1:14" x14ac:dyDescent="0.25">
      <c r="A591">
        <v>12100</v>
      </c>
      <c r="B591" t="s">
        <v>37</v>
      </c>
      <c r="C591" t="s">
        <v>39</v>
      </c>
      <c r="D591" s="3">
        <v>60000</v>
      </c>
      <c r="E591">
        <v>2</v>
      </c>
      <c r="F591" t="s">
        <v>13</v>
      </c>
      <c r="G591" t="s">
        <v>28</v>
      </c>
      <c r="H591" t="s">
        <v>15</v>
      </c>
      <c r="I591">
        <v>0</v>
      </c>
      <c r="J591" t="s">
        <v>50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Young Adults</v>
      </c>
      <c r="N592" t="s">
        <v>15</v>
      </c>
    </row>
    <row r="593" spans="1:14" x14ac:dyDescent="0.25">
      <c r="A593">
        <v>18545</v>
      </c>
      <c r="B593" t="s">
        <v>36</v>
      </c>
      <c r="C593" t="s">
        <v>39</v>
      </c>
      <c r="D593" s="3">
        <v>40000</v>
      </c>
      <c r="E593">
        <v>4</v>
      </c>
      <c r="F593" t="s">
        <v>27</v>
      </c>
      <c r="G593" t="s">
        <v>21</v>
      </c>
      <c r="H593" t="s">
        <v>18</v>
      </c>
      <c r="I593">
        <v>2</v>
      </c>
      <c r="J593" t="s">
        <v>50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Young Adults</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Young Adults</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38</v>
      </c>
      <c r="D609" s="3">
        <v>70000</v>
      </c>
      <c r="E609">
        <v>5</v>
      </c>
      <c r="F609" t="s">
        <v>31</v>
      </c>
      <c r="G609" t="s">
        <v>21</v>
      </c>
      <c r="H609" t="s">
        <v>15</v>
      </c>
      <c r="I609">
        <v>3</v>
      </c>
      <c r="J609" t="s">
        <v>50</v>
      </c>
      <c r="K609" t="s">
        <v>32</v>
      </c>
      <c r="L609">
        <v>46</v>
      </c>
      <c r="M609" t="str">
        <f t="shared" si="9"/>
        <v>Middle Aged</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Young Adults</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Young Adults</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Young Adults</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Middle Aged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Young Adults</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Young Adults</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Young Adults</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Young Adults</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Young Adults</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50</v>
      </c>
      <c r="K643" t="s">
        <v>32</v>
      </c>
      <c r="L643">
        <v>64</v>
      </c>
      <c r="M643" t="str">
        <f t="shared" ref="M643:M706" si="10">IF(L643&lt;36,"Young Adults",IF(L643&lt;56,"Middle Aged",IF(L643&gt;55,"Old")))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Young Adults</v>
      </c>
      <c r="N645" t="s">
        <v>15</v>
      </c>
    </row>
    <row r="646" spans="1:14" x14ac:dyDescent="0.25">
      <c r="A646">
        <v>23368</v>
      </c>
      <c r="B646" t="s">
        <v>36</v>
      </c>
      <c r="C646" t="s">
        <v>38</v>
      </c>
      <c r="D646" s="3">
        <v>60000</v>
      </c>
      <c r="E646">
        <v>5</v>
      </c>
      <c r="F646" t="s">
        <v>13</v>
      </c>
      <c r="G646" t="s">
        <v>14</v>
      </c>
      <c r="H646" t="s">
        <v>15</v>
      </c>
      <c r="I646">
        <v>3</v>
      </c>
      <c r="J646" t="s">
        <v>50</v>
      </c>
      <c r="K646" t="s">
        <v>32</v>
      </c>
      <c r="L646">
        <v>41</v>
      </c>
      <c r="M646" t="str">
        <f t="shared" si="10"/>
        <v>Middle Aged</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Young Adults</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38</v>
      </c>
      <c r="D652" s="3">
        <v>70000</v>
      </c>
      <c r="E652">
        <v>5</v>
      </c>
      <c r="F652" t="s">
        <v>31</v>
      </c>
      <c r="G652" t="s">
        <v>28</v>
      </c>
      <c r="H652" t="s">
        <v>15</v>
      </c>
      <c r="I652">
        <v>2</v>
      </c>
      <c r="J652" t="s">
        <v>50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Young Adults</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Young Adults</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Young Adults</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Young Adults</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38</v>
      </c>
      <c r="D661" s="3">
        <v>60000</v>
      </c>
      <c r="E661">
        <v>4</v>
      </c>
      <c r="F661" t="s">
        <v>13</v>
      </c>
      <c r="G661" t="s">
        <v>28</v>
      </c>
      <c r="H661" t="s">
        <v>15</v>
      </c>
      <c r="I661">
        <v>2</v>
      </c>
      <c r="J661" t="s">
        <v>50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Young Adults</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38</v>
      </c>
      <c r="D669" s="3">
        <v>40000</v>
      </c>
      <c r="E669">
        <v>5</v>
      </c>
      <c r="F669" t="s">
        <v>27</v>
      </c>
      <c r="G669" t="s">
        <v>21</v>
      </c>
      <c r="H669" t="s">
        <v>18</v>
      </c>
      <c r="I669">
        <v>2</v>
      </c>
      <c r="J669" t="s">
        <v>50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39</v>
      </c>
      <c r="D672" s="3">
        <v>70000</v>
      </c>
      <c r="E672">
        <v>2</v>
      </c>
      <c r="F672" t="s">
        <v>19</v>
      </c>
      <c r="G672" t="s">
        <v>21</v>
      </c>
      <c r="H672" t="s">
        <v>15</v>
      </c>
      <c r="I672">
        <v>1</v>
      </c>
      <c r="J672" t="s">
        <v>50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Young Adults</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Young Adults</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50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Young Adults</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Young Adults</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Young Adults</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Young Adults</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Young Adults</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Young Adults</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Young Adults</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Young Adults</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Young Adults</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38</v>
      </c>
      <c r="D707" s="3">
        <v>70000</v>
      </c>
      <c r="E707">
        <v>4</v>
      </c>
      <c r="F707" t="s">
        <v>13</v>
      </c>
      <c r="G707" t="s">
        <v>28</v>
      </c>
      <c r="H707" t="s">
        <v>15</v>
      </c>
      <c r="I707">
        <v>1</v>
      </c>
      <c r="J707" t="s">
        <v>50</v>
      </c>
      <c r="K707" t="s">
        <v>32</v>
      </c>
      <c r="L707">
        <v>59</v>
      </c>
      <c r="M707" t="str">
        <f t="shared" ref="M707:M770" si="11">IF(L707&lt;36,"Young Adults",IF(L707&lt;56,"Middle Aged",IF(L707&gt;55,"Old")))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Young Adults</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39</v>
      </c>
      <c r="D710" s="3">
        <v>70000</v>
      </c>
      <c r="E710">
        <v>5</v>
      </c>
      <c r="F710" t="s">
        <v>13</v>
      </c>
      <c r="G710" t="s">
        <v>28</v>
      </c>
      <c r="H710" t="s">
        <v>15</v>
      </c>
      <c r="I710">
        <v>4</v>
      </c>
      <c r="J710" t="s">
        <v>50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50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Young Adults</v>
      </c>
      <c r="N712" t="s">
        <v>15</v>
      </c>
    </row>
    <row r="713" spans="1:14" x14ac:dyDescent="0.25">
      <c r="A713">
        <v>20518</v>
      </c>
      <c r="B713" t="s">
        <v>36</v>
      </c>
      <c r="C713" t="s">
        <v>38</v>
      </c>
      <c r="D713" s="3">
        <v>70000</v>
      </c>
      <c r="E713">
        <v>2</v>
      </c>
      <c r="F713" t="s">
        <v>19</v>
      </c>
      <c r="G713" t="s">
        <v>21</v>
      </c>
      <c r="H713" t="s">
        <v>15</v>
      </c>
      <c r="I713">
        <v>1</v>
      </c>
      <c r="J713" t="s">
        <v>50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Young Adults</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Young Adults</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Young Adults</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Young Adults</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38</v>
      </c>
      <c r="D741" s="3">
        <v>60000</v>
      </c>
      <c r="E741">
        <v>2</v>
      </c>
      <c r="F741" t="s">
        <v>19</v>
      </c>
      <c r="G741" t="s">
        <v>21</v>
      </c>
      <c r="H741" t="s">
        <v>15</v>
      </c>
      <c r="I741">
        <v>1</v>
      </c>
      <c r="J741" t="s">
        <v>50</v>
      </c>
      <c r="K741" t="s">
        <v>32</v>
      </c>
      <c r="L741">
        <v>55</v>
      </c>
      <c r="M741" t="str">
        <f t="shared" si="11"/>
        <v>Middle Aged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Young Adults</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Young Adults</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38</v>
      </c>
      <c r="D746" s="3">
        <v>70000</v>
      </c>
      <c r="E746">
        <v>4</v>
      </c>
      <c r="F746" t="s">
        <v>19</v>
      </c>
      <c r="G746" t="s">
        <v>21</v>
      </c>
      <c r="H746" t="s">
        <v>15</v>
      </c>
      <c r="I746">
        <v>1</v>
      </c>
      <c r="J746" t="s">
        <v>50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38</v>
      </c>
      <c r="D748" s="3">
        <v>60000</v>
      </c>
      <c r="E748">
        <v>2</v>
      </c>
      <c r="F748" t="s">
        <v>13</v>
      </c>
      <c r="G748" t="s">
        <v>28</v>
      </c>
      <c r="H748" t="s">
        <v>15</v>
      </c>
      <c r="I748">
        <v>0</v>
      </c>
      <c r="J748" t="s">
        <v>50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Young Adults</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Young Adults</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38</v>
      </c>
      <c r="D763" s="3">
        <v>60000</v>
      </c>
      <c r="E763">
        <v>5</v>
      </c>
      <c r="F763" t="s">
        <v>13</v>
      </c>
      <c r="G763" t="s">
        <v>28</v>
      </c>
      <c r="H763" t="s">
        <v>15</v>
      </c>
      <c r="I763">
        <v>3</v>
      </c>
      <c r="J763" t="s">
        <v>50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Young Adults</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Young Adults</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Young Adults</v>
      </c>
      <c r="N767" t="s">
        <v>15</v>
      </c>
    </row>
    <row r="768" spans="1:14" x14ac:dyDescent="0.25">
      <c r="A768">
        <v>14608</v>
      </c>
      <c r="B768" t="s">
        <v>36</v>
      </c>
      <c r="C768" t="s">
        <v>39</v>
      </c>
      <c r="D768" s="3">
        <v>50000</v>
      </c>
      <c r="E768">
        <v>4</v>
      </c>
      <c r="F768" t="s">
        <v>13</v>
      </c>
      <c r="G768" t="s">
        <v>14</v>
      </c>
      <c r="H768" t="s">
        <v>15</v>
      </c>
      <c r="I768">
        <v>3</v>
      </c>
      <c r="J768" t="s">
        <v>50</v>
      </c>
      <c r="K768" t="s">
        <v>32</v>
      </c>
      <c r="L768">
        <v>42</v>
      </c>
      <c r="M768" t="str">
        <f t="shared" si="11"/>
        <v>Middle Aged</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IF(L771&lt;36,"Young Adults",IF(L771&lt;56,"Middle Aged",IF(L771&gt;55,"Old")))</f>
        <v>Middle Aged</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Middle Aged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Young Adults</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39</v>
      </c>
      <c r="D777" s="3">
        <v>70000</v>
      </c>
      <c r="E777">
        <v>2</v>
      </c>
      <c r="F777" t="s">
        <v>29</v>
      </c>
      <c r="G777" t="s">
        <v>14</v>
      </c>
      <c r="H777" t="s">
        <v>15</v>
      </c>
      <c r="I777">
        <v>2</v>
      </c>
      <c r="J777" t="s">
        <v>50</v>
      </c>
      <c r="K777" t="s">
        <v>32</v>
      </c>
      <c r="L777">
        <v>54</v>
      </c>
      <c r="M777" t="str">
        <f t="shared" si="12"/>
        <v>Middle Aged</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Young Adults</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38</v>
      </c>
      <c r="D782" s="3">
        <v>60000</v>
      </c>
      <c r="E782">
        <v>2</v>
      </c>
      <c r="F782" t="s">
        <v>19</v>
      </c>
      <c r="G782" t="s">
        <v>21</v>
      </c>
      <c r="H782" t="s">
        <v>15</v>
      </c>
      <c r="I782">
        <v>1</v>
      </c>
      <c r="J782" t="s">
        <v>50</v>
      </c>
      <c r="K782" t="s">
        <v>32</v>
      </c>
      <c r="L782">
        <v>55</v>
      </c>
      <c r="M782" t="str">
        <f t="shared" si="12"/>
        <v>Middle Aged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Young Adults</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Young Adults</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Young Adults</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Young Adults</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Young Adults</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Young Adults</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Young Adults</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Young Adults</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Young Adults</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Young Adults</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Young Adults</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Young Adults</v>
      </c>
      <c r="N813" t="s">
        <v>18</v>
      </c>
    </row>
    <row r="814" spans="1:14" x14ac:dyDescent="0.25">
      <c r="A814">
        <v>15749</v>
      </c>
      <c r="B814" t="s">
        <v>37</v>
      </c>
      <c r="C814" t="s">
        <v>38</v>
      </c>
      <c r="D814" s="3">
        <v>70000</v>
      </c>
      <c r="E814">
        <v>4</v>
      </c>
      <c r="F814" t="s">
        <v>13</v>
      </c>
      <c r="G814" t="s">
        <v>28</v>
      </c>
      <c r="H814" t="s">
        <v>15</v>
      </c>
      <c r="I814">
        <v>2</v>
      </c>
      <c r="J814" t="s">
        <v>50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50</v>
      </c>
      <c r="K815" t="s">
        <v>32</v>
      </c>
      <c r="L815">
        <v>53</v>
      </c>
      <c r="M815" t="str">
        <f t="shared" si="12"/>
        <v>Middle Aged</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Young Adults</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Young Adults</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Young Adults</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Young Adults</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Young Adults</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Young Adults</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IF(L835&lt;36,"Young Adults",IF(L835&lt;56,"Middle Aged",IF(L835&gt;55,"Old")))</f>
        <v>Middle Aged</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Young Adults</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Young Adults</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39</v>
      </c>
      <c r="D842" s="3">
        <v>70000</v>
      </c>
      <c r="E842">
        <v>4</v>
      </c>
      <c r="F842" t="s">
        <v>19</v>
      </c>
      <c r="G842" t="s">
        <v>21</v>
      </c>
      <c r="H842" t="s">
        <v>15</v>
      </c>
      <c r="I842">
        <v>2</v>
      </c>
      <c r="J842" t="s">
        <v>50</v>
      </c>
      <c r="K842" t="s">
        <v>32</v>
      </c>
      <c r="L842">
        <v>53</v>
      </c>
      <c r="M842" t="str">
        <f t="shared" si="13"/>
        <v>Middle Aged</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38</v>
      </c>
      <c r="D846" s="3">
        <v>40000</v>
      </c>
      <c r="E846">
        <v>5</v>
      </c>
      <c r="F846" t="s">
        <v>27</v>
      </c>
      <c r="G846" t="s">
        <v>21</v>
      </c>
      <c r="H846" t="s">
        <v>15</v>
      </c>
      <c r="I846">
        <v>2</v>
      </c>
      <c r="J846" t="s">
        <v>50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Young Adults</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Young Adults</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Young Adults</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Young Adults</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Young Adults</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Young Adults</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Young Adults</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Young Adults</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Young Adults</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39</v>
      </c>
      <c r="D868" s="3">
        <v>60000</v>
      </c>
      <c r="E868">
        <v>2</v>
      </c>
      <c r="F868" t="s">
        <v>27</v>
      </c>
      <c r="G868" t="s">
        <v>21</v>
      </c>
      <c r="H868" t="s">
        <v>15</v>
      </c>
      <c r="I868">
        <v>2</v>
      </c>
      <c r="J868" t="s">
        <v>50</v>
      </c>
      <c r="K868" t="s">
        <v>32</v>
      </c>
      <c r="L868">
        <v>55</v>
      </c>
      <c r="M868" t="str">
        <f t="shared" si="13"/>
        <v>Middle Aged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39</v>
      </c>
      <c r="D870" s="3">
        <v>30000</v>
      </c>
      <c r="E870">
        <v>5</v>
      </c>
      <c r="F870" t="s">
        <v>29</v>
      </c>
      <c r="G870" t="s">
        <v>14</v>
      </c>
      <c r="H870" t="s">
        <v>15</v>
      </c>
      <c r="I870">
        <v>3</v>
      </c>
      <c r="J870" t="s">
        <v>50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39</v>
      </c>
      <c r="D873" s="3">
        <v>60000</v>
      </c>
      <c r="E873">
        <v>2</v>
      </c>
      <c r="F873" t="s">
        <v>27</v>
      </c>
      <c r="G873" t="s">
        <v>21</v>
      </c>
      <c r="H873" t="s">
        <v>15</v>
      </c>
      <c r="I873">
        <v>2</v>
      </c>
      <c r="J873" t="s">
        <v>50</v>
      </c>
      <c r="K873" t="s">
        <v>32</v>
      </c>
      <c r="L873">
        <v>55</v>
      </c>
      <c r="M873" t="str">
        <f t="shared" si="13"/>
        <v>Middle Aged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Young Adults</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Young Adults</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Young Adults</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Young Adults</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Young Adults</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Young Adults</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Young Adults</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Young Adults</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IF(L899&lt;36,"Young Adults",IF(L899&lt;56,"Middle Aged",IF(L899&gt;55,"Old")))</f>
        <v>Young Adults</v>
      </c>
      <c r="N899" t="s">
        <v>18</v>
      </c>
    </row>
    <row r="900" spans="1:14" x14ac:dyDescent="0.25">
      <c r="A900">
        <v>18066</v>
      </c>
      <c r="B900" t="s">
        <v>37</v>
      </c>
      <c r="C900" t="s">
        <v>39</v>
      </c>
      <c r="D900" s="3">
        <v>70000</v>
      </c>
      <c r="E900">
        <v>5</v>
      </c>
      <c r="F900" t="s">
        <v>13</v>
      </c>
      <c r="G900" t="s">
        <v>28</v>
      </c>
      <c r="H900" t="s">
        <v>15</v>
      </c>
      <c r="I900">
        <v>3</v>
      </c>
      <c r="J900" t="s">
        <v>50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50</v>
      </c>
      <c r="K901" t="s">
        <v>32</v>
      </c>
      <c r="L901">
        <v>46</v>
      </c>
      <c r="M901" t="str">
        <f t="shared" si="14"/>
        <v>Middle Aged</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Young Adults</v>
      </c>
      <c r="N908" t="s">
        <v>15</v>
      </c>
    </row>
    <row r="909" spans="1:14" x14ac:dyDescent="0.25">
      <c r="A909">
        <v>19747</v>
      </c>
      <c r="B909" t="s">
        <v>36</v>
      </c>
      <c r="C909" t="s">
        <v>39</v>
      </c>
      <c r="D909" s="3">
        <v>50000</v>
      </c>
      <c r="E909">
        <v>4</v>
      </c>
      <c r="F909" t="s">
        <v>13</v>
      </c>
      <c r="G909" t="s">
        <v>28</v>
      </c>
      <c r="H909" t="s">
        <v>15</v>
      </c>
      <c r="I909">
        <v>2</v>
      </c>
      <c r="J909" t="s">
        <v>50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Young Adults</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39</v>
      </c>
      <c r="D917" s="3">
        <v>60000</v>
      </c>
      <c r="E917">
        <v>3</v>
      </c>
      <c r="F917" t="s">
        <v>31</v>
      </c>
      <c r="G917" t="s">
        <v>28</v>
      </c>
      <c r="H917" t="s">
        <v>15</v>
      </c>
      <c r="I917">
        <v>2</v>
      </c>
      <c r="J917" t="s">
        <v>50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Young Adults</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Young Adults</v>
      </c>
      <c r="N920" t="s">
        <v>15</v>
      </c>
    </row>
    <row r="921" spans="1:14" x14ac:dyDescent="0.25">
      <c r="A921">
        <v>21451</v>
      </c>
      <c r="B921" t="s">
        <v>36</v>
      </c>
      <c r="C921" t="s">
        <v>38</v>
      </c>
      <c r="D921" s="3">
        <v>40000</v>
      </c>
      <c r="E921">
        <v>4</v>
      </c>
      <c r="F921" t="s">
        <v>27</v>
      </c>
      <c r="G921" t="s">
        <v>21</v>
      </c>
      <c r="H921" t="s">
        <v>15</v>
      </c>
      <c r="I921">
        <v>2</v>
      </c>
      <c r="J921" t="s">
        <v>50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Young Adults</v>
      </c>
      <c r="N927" t="s">
        <v>15</v>
      </c>
    </row>
    <row r="928" spans="1:14" x14ac:dyDescent="0.25">
      <c r="A928">
        <v>26495</v>
      </c>
      <c r="B928" t="s">
        <v>37</v>
      </c>
      <c r="C928" t="s">
        <v>38</v>
      </c>
      <c r="D928" s="3">
        <v>40000</v>
      </c>
      <c r="E928">
        <v>2</v>
      </c>
      <c r="F928" t="s">
        <v>27</v>
      </c>
      <c r="G928" t="s">
        <v>21</v>
      </c>
      <c r="H928" t="s">
        <v>15</v>
      </c>
      <c r="I928">
        <v>2</v>
      </c>
      <c r="J928" t="s">
        <v>50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39</v>
      </c>
      <c r="D932" s="3">
        <v>70000</v>
      </c>
      <c r="E932">
        <v>5</v>
      </c>
      <c r="F932" t="s">
        <v>31</v>
      </c>
      <c r="G932" t="s">
        <v>21</v>
      </c>
      <c r="H932" t="s">
        <v>18</v>
      </c>
      <c r="I932">
        <v>3</v>
      </c>
      <c r="J932" t="s">
        <v>50</v>
      </c>
      <c r="K932" t="s">
        <v>32</v>
      </c>
      <c r="L932">
        <v>47</v>
      </c>
      <c r="M932" t="str">
        <f t="shared" si="14"/>
        <v>Middle Aged</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Young Adults</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Young Adults</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Young Adults</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Young Adults</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Young Adults</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Young Adults</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39</v>
      </c>
      <c r="D951" s="3">
        <v>70000</v>
      </c>
      <c r="E951">
        <v>2</v>
      </c>
      <c r="F951" t="s">
        <v>29</v>
      </c>
      <c r="G951" t="s">
        <v>14</v>
      </c>
      <c r="H951" t="s">
        <v>15</v>
      </c>
      <c r="I951">
        <v>2</v>
      </c>
      <c r="J951" t="s">
        <v>50</v>
      </c>
      <c r="K951" t="s">
        <v>32</v>
      </c>
      <c r="L951">
        <v>53</v>
      </c>
      <c r="M951" t="str">
        <f t="shared" si="14"/>
        <v>Middle Aged</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Young Adults</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Young Adults</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Young Adults</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Young Adults</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IF(L963&lt;36,"Young Adults",IF(L963&lt;56,"Middle Aged",IF(L963&gt;55,"Old")))</f>
        <v>Old</v>
      </c>
      <c r="N963" t="s">
        <v>18</v>
      </c>
    </row>
    <row r="964" spans="1:14" x14ac:dyDescent="0.25">
      <c r="A964">
        <v>16813</v>
      </c>
      <c r="B964" t="s">
        <v>36</v>
      </c>
      <c r="C964" t="s">
        <v>39</v>
      </c>
      <c r="D964" s="3">
        <v>60000</v>
      </c>
      <c r="E964">
        <v>2</v>
      </c>
      <c r="F964" t="s">
        <v>19</v>
      </c>
      <c r="G964" t="s">
        <v>21</v>
      </c>
      <c r="H964" t="s">
        <v>15</v>
      </c>
      <c r="I964">
        <v>2</v>
      </c>
      <c r="J964" t="s">
        <v>50</v>
      </c>
      <c r="K964" t="s">
        <v>32</v>
      </c>
      <c r="L964">
        <v>55</v>
      </c>
      <c r="M964" t="str">
        <f t="shared" si="15"/>
        <v>Middle Aged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50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Young Adults</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Young Adults</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Young Adults</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Young Adults</v>
      </c>
      <c r="N977" t="s">
        <v>15</v>
      </c>
    </row>
    <row r="978" spans="1:14" x14ac:dyDescent="0.25">
      <c r="A978">
        <v>28004</v>
      </c>
      <c r="B978" t="s">
        <v>36</v>
      </c>
      <c r="C978" t="s">
        <v>38</v>
      </c>
      <c r="D978" s="3">
        <v>60000</v>
      </c>
      <c r="E978">
        <v>3</v>
      </c>
      <c r="F978" t="s">
        <v>13</v>
      </c>
      <c r="G978" t="s">
        <v>28</v>
      </c>
      <c r="H978" t="s">
        <v>15</v>
      </c>
      <c r="I978">
        <v>2</v>
      </c>
      <c r="J978" t="s">
        <v>50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Young Adults</v>
      </c>
      <c r="N981" t="s">
        <v>18</v>
      </c>
    </row>
    <row r="982" spans="1:14" x14ac:dyDescent="0.25">
      <c r="A982">
        <v>18594</v>
      </c>
      <c r="B982" t="s">
        <v>37</v>
      </c>
      <c r="C982" t="s">
        <v>38</v>
      </c>
      <c r="D982" s="3">
        <v>80000</v>
      </c>
      <c r="E982">
        <v>3</v>
      </c>
      <c r="F982" t="s">
        <v>13</v>
      </c>
      <c r="G982" t="s">
        <v>14</v>
      </c>
      <c r="H982" t="s">
        <v>15</v>
      </c>
      <c r="I982">
        <v>3</v>
      </c>
      <c r="J982" t="s">
        <v>50</v>
      </c>
      <c r="K982" t="s">
        <v>32</v>
      </c>
      <c r="L982">
        <v>40</v>
      </c>
      <c r="M982" t="str">
        <f t="shared" si="15"/>
        <v>Middle Aged</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39</v>
      </c>
      <c r="D988" s="3">
        <v>40000</v>
      </c>
      <c r="E988">
        <v>5</v>
      </c>
      <c r="F988" t="s">
        <v>27</v>
      </c>
      <c r="G988" t="s">
        <v>21</v>
      </c>
      <c r="H988" t="s">
        <v>15</v>
      </c>
      <c r="I988">
        <v>4</v>
      </c>
      <c r="J988" t="s">
        <v>50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50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50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50</v>
      </c>
      <c r="K991" t="s">
        <v>32</v>
      </c>
      <c r="L991">
        <v>42</v>
      </c>
      <c r="M991" t="str">
        <f t="shared" si="15"/>
        <v>Middle Aged</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Young Adults</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Young Adults</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39</v>
      </c>
      <c r="D1001" s="3">
        <v>60000</v>
      </c>
      <c r="E1001">
        <v>3</v>
      </c>
      <c r="F1001" t="s">
        <v>27</v>
      </c>
      <c r="G1001" t="s">
        <v>21</v>
      </c>
      <c r="H1001" t="s">
        <v>15</v>
      </c>
      <c r="I1001">
        <v>2</v>
      </c>
      <c r="J1001" t="s">
        <v>50</v>
      </c>
      <c r="K1001" t="s">
        <v>32</v>
      </c>
      <c r="L1001">
        <v>53</v>
      </c>
      <c r="M1001" t="str">
        <f t="shared" si="15"/>
        <v>Middle Aged</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M1:M1027" xr:uid="{D5E0A8C4-8A2C-4722-B50A-CCEE80BEE5A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AB924-0116-48B4-A831-8F4A053C9CE9}">
  <dimension ref="A6:H55"/>
  <sheetViews>
    <sheetView workbookViewId="0">
      <selection activeCell="B34" sqref="B34"/>
    </sheetView>
  </sheetViews>
  <sheetFormatPr defaultRowHeight="15" x14ac:dyDescent="0.25"/>
  <cols>
    <col min="1" max="1" width="26.28515625" bestFit="1" customWidth="1"/>
    <col min="2" max="2" width="22.85546875" bestFit="1" customWidth="1"/>
    <col min="3" max="3" width="16.28515625" bestFit="1" customWidth="1"/>
    <col min="4" max="4" width="4.140625" bestFit="1" customWidth="1"/>
    <col min="5" max="5" width="11.28515625" bestFit="1" customWidth="1"/>
    <col min="6" max="7" width="6" bestFit="1" customWidth="1"/>
    <col min="8" max="8" width="11.28515625" bestFit="1" customWidth="1"/>
  </cols>
  <sheetData>
    <row r="6" spans="5:8" x14ac:dyDescent="0.25">
      <c r="E6" s="4" t="s">
        <v>44</v>
      </c>
    </row>
    <row r="7" spans="5:8" x14ac:dyDescent="0.25">
      <c r="F7" t="s">
        <v>18</v>
      </c>
      <c r="G7" t="s">
        <v>15</v>
      </c>
      <c r="H7" t="s">
        <v>42</v>
      </c>
    </row>
    <row r="8" spans="5:8" x14ac:dyDescent="0.25">
      <c r="E8" s="5" t="s">
        <v>38</v>
      </c>
      <c r="F8" s="3">
        <v>53440</v>
      </c>
      <c r="G8" s="3">
        <v>55774.058577405856</v>
      </c>
      <c r="H8" s="3">
        <v>54580.777096114522</v>
      </c>
    </row>
    <row r="9" spans="5:8" x14ac:dyDescent="0.25">
      <c r="E9" s="5" t="s">
        <v>39</v>
      </c>
      <c r="F9" s="3">
        <v>56208.178438661707</v>
      </c>
      <c r="G9" s="3">
        <v>60123.966942148763</v>
      </c>
      <c r="H9" s="3">
        <v>58062.62230919765</v>
      </c>
    </row>
    <row r="10" spans="5:8" x14ac:dyDescent="0.25">
      <c r="E10" s="5" t="s">
        <v>42</v>
      </c>
      <c r="F10" s="3">
        <v>54874.759152215796</v>
      </c>
      <c r="G10" s="3">
        <v>57962.577962577961</v>
      </c>
      <c r="H10" s="3">
        <v>56360</v>
      </c>
    </row>
    <row r="18" spans="1:4" x14ac:dyDescent="0.25">
      <c r="A18" s="4" t="s">
        <v>48</v>
      </c>
      <c r="B18" s="4" t="s">
        <v>43</v>
      </c>
    </row>
    <row r="19" spans="1:4" x14ac:dyDescent="0.25">
      <c r="A19" s="4" t="s">
        <v>41</v>
      </c>
      <c r="B19" t="s">
        <v>18</v>
      </c>
      <c r="C19" t="s">
        <v>15</v>
      </c>
      <c r="D19" t="s">
        <v>42</v>
      </c>
    </row>
    <row r="20" spans="1:4" x14ac:dyDescent="0.25">
      <c r="A20" s="5" t="s">
        <v>47</v>
      </c>
      <c r="B20" s="11">
        <v>141</v>
      </c>
      <c r="C20" s="11">
        <v>115</v>
      </c>
      <c r="D20" s="11">
        <v>256</v>
      </c>
    </row>
    <row r="21" spans="1:4" x14ac:dyDescent="0.25">
      <c r="A21" s="5" t="s">
        <v>46</v>
      </c>
      <c r="B21" s="11">
        <v>117</v>
      </c>
      <c r="C21" s="11">
        <v>54</v>
      </c>
      <c r="D21" s="11">
        <v>171</v>
      </c>
    </row>
    <row r="22" spans="1:4" x14ac:dyDescent="0.25">
      <c r="A22" s="5" t="s">
        <v>45</v>
      </c>
      <c r="B22" s="11">
        <v>261</v>
      </c>
      <c r="C22" s="11">
        <v>312</v>
      </c>
      <c r="D22" s="11">
        <v>573</v>
      </c>
    </row>
    <row r="23" spans="1:4" x14ac:dyDescent="0.25">
      <c r="A23" s="5" t="s">
        <v>42</v>
      </c>
      <c r="B23" s="11">
        <v>519</v>
      </c>
      <c r="C23" s="11">
        <v>481</v>
      </c>
      <c r="D23" s="11">
        <v>1000</v>
      </c>
    </row>
    <row r="48" spans="2:3" x14ac:dyDescent="0.25">
      <c r="B48" s="4" t="s">
        <v>49</v>
      </c>
      <c r="C48" s="4" t="s">
        <v>43</v>
      </c>
    </row>
    <row r="49" spans="2:5" x14ac:dyDescent="0.25">
      <c r="B49" s="4" t="s">
        <v>41</v>
      </c>
      <c r="C49" t="s">
        <v>18</v>
      </c>
      <c r="D49" t="s">
        <v>15</v>
      </c>
      <c r="E49" t="s">
        <v>42</v>
      </c>
    </row>
    <row r="50" spans="2:5" x14ac:dyDescent="0.25">
      <c r="B50" s="5" t="s">
        <v>16</v>
      </c>
      <c r="C50" s="11">
        <v>166</v>
      </c>
      <c r="D50" s="11">
        <v>200</v>
      </c>
      <c r="E50" s="11">
        <v>366</v>
      </c>
    </row>
    <row r="51" spans="2:5" x14ac:dyDescent="0.25">
      <c r="B51" s="5" t="s">
        <v>26</v>
      </c>
      <c r="C51" s="11">
        <v>92</v>
      </c>
      <c r="D51" s="11">
        <v>77</v>
      </c>
      <c r="E51" s="11">
        <v>169</v>
      </c>
    </row>
    <row r="52" spans="2:5" x14ac:dyDescent="0.25">
      <c r="B52" s="5" t="s">
        <v>22</v>
      </c>
      <c r="C52" s="11">
        <v>67</v>
      </c>
      <c r="D52" s="11">
        <v>95</v>
      </c>
      <c r="E52" s="11">
        <v>162</v>
      </c>
    </row>
    <row r="53" spans="2:5" x14ac:dyDescent="0.25">
      <c r="B53" s="5" t="s">
        <v>23</v>
      </c>
      <c r="C53" s="11">
        <v>116</v>
      </c>
      <c r="D53" s="11">
        <v>76</v>
      </c>
      <c r="E53" s="11">
        <v>192</v>
      </c>
    </row>
    <row r="54" spans="2:5" x14ac:dyDescent="0.25">
      <c r="B54" s="5" t="s">
        <v>50</v>
      </c>
      <c r="C54" s="11">
        <v>78</v>
      </c>
      <c r="D54" s="11">
        <v>33</v>
      </c>
      <c r="E54" s="11">
        <v>111</v>
      </c>
    </row>
    <row r="55" spans="2:5" x14ac:dyDescent="0.25">
      <c r="B55" s="5" t="s">
        <v>42</v>
      </c>
      <c r="C55" s="11">
        <v>519</v>
      </c>
      <c r="D55" s="11">
        <v>481</v>
      </c>
      <c r="E55"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1DECC-6311-4723-BB55-099A3883920B}">
  <dimension ref="A1:R30"/>
  <sheetViews>
    <sheetView showGridLines="0" tabSelected="1" zoomScale="70" zoomScaleNormal="70" workbookViewId="0">
      <selection activeCell="S19" sqref="S19"/>
    </sheetView>
  </sheetViews>
  <sheetFormatPr defaultRowHeight="15" x14ac:dyDescent="0.25"/>
  <cols>
    <col min="16" max="16" width="12.42578125" customWidth="1"/>
  </cols>
  <sheetData>
    <row r="1" spans="1:18" x14ac:dyDescent="0.25">
      <c r="A1" s="9"/>
      <c r="B1" s="9"/>
      <c r="C1" s="9"/>
      <c r="D1" s="9"/>
      <c r="E1" s="9"/>
      <c r="F1" s="9"/>
      <c r="G1" s="9"/>
      <c r="H1" s="9"/>
      <c r="I1" s="9"/>
      <c r="J1" s="9"/>
      <c r="K1" s="9"/>
      <c r="L1" s="9"/>
      <c r="M1" s="9"/>
      <c r="N1" s="9"/>
      <c r="O1" s="9"/>
      <c r="P1" s="9"/>
      <c r="Q1" s="8"/>
      <c r="R1" s="8"/>
    </row>
    <row r="2" spans="1:18" ht="46.5" x14ac:dyDescent="0.25">
      <c r="A2" s="10" t="s">
        <v>51</v>
      </c>
      <c r="B2" s="9"/>
      <c r="C2" s="9"/>
      <c r="D2" s="9"/>
      <c r="E2" s="9"/>
      <c r="F2" s="9"/>
      <c r="G2" s="9"/>
      <c r="H2" s="9"/>
      <c r="I2" s="9"/>
      <c r="J2" s="9"/>
      <c r="K2" s="9"/>
      <c r="L2" s="9"/>
      <c r="M2" s="9"/>
      <c r="N2" s="9"/>
      <c r="O2" s="9"/>
      <c r="P2" s="9"/>
      <c r="Q2" s="8"/>
      <c r="R2" s="8"/>
    </row>
    <row r="3" spans="1:18" x14ac:dyDescent="0.25">
      <c r="A3" s="6"/>
      <c r="B3" s="7"/>
      <c r="C3" s="7"/>
      <c r="D3" s="7"/>
      <c r="E3" s="7"/>
      <c r="F3" s="7"/>
      <c r="G3" s="7"/>
      <c r="H3" s="7"/>
      <c r="I3" s="7"/>
      <c r="J3" s="7"/>
      <c r="K3" s="7"/>
      <c r="L3" s="7"/>
      <c r="M3" s="7"/>
      <c r="N3" s="7"/>
      <c r="O3" s="7"/>
      <c r="P3" s="7"/>
      <c r="Q3" s="7"/>
      <c r="R3" s="7"/>
    </row>
    <row r="4" spans="1:18" x14ac:dyDescent="0.25">
      <c r="A4" s="7"/>
      <c r="B4" s="7"/>
      <c r="C4" s="7"/>
      <c r="D4" s="7"/>
      <c r="E4" s="7"/>
      <c r="F4" s="7"/>
      <c r="G4" s="7"/>
      <c r="H4" s="7"/>
      <c r="I4" s="7"/>
      <c r="J4" s="7"/>
      <c r="K4" s="7"/>
      <c r="L4" s="7"/>
      <c r="M4" s="7"/>
      <c r="N4" s="7"/>
      <c r="O4" s="7"/>
      <c r="P4" s="7"/>
      <c r="Q4" s="7"/>
      <c r="R4" s="7"/>
    </row>
    <row r="29" spans="1:15" x14ac:dyDescent="0.25">
      <c r="A29" s="12"/>
      <c r="B29" s="12"/>
      <c r="C29" s="12"/>
    </row>
    <row r="30" spans="1:15" x14ac:dyDescent="0.25">
      <c r="M30" s="12" t="s">
        <v>52</v>
      </c>
      <c r="N30" s="12"/>
      <c r="O3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table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Riddhima Nath</cp:lastModifiedBy>
  <dcterms:created xsi:type="dcterms:W3CDTF">2022-03-18T02:50:57Z</dcterms:created>
  <dcterms:modified xsi:type="dcterms:W3CDTF">2026-05-05T04:49:25Z</dcterms:modified>
</cp:coreProperties>
</file>